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1\Downloads\Prácticas en la profesión 2\Aleph\Segmentación\FINALES\"/>
    </mc:Choice>
  </mc:AlternateContent>
  <xr:revisionPtr revIDLastSave="0" documentId="13_ncr:1_{B5716707-D57A-49F9-AA19-16B464FEEF4D}" xr6:coauthVersionLast="47" xr6:coauthVersionMax="47" xr10:uidLastSave="{00000000-0000-0000-0000-000000000000}"/>
  <bookViews>
    <workbookView showSheetTabs="0" xWindow="-120" yWindow="-120" windowWidth="20730" windowHeight="11160" xr2:uid="{00000000-000D-0000-FFFF-FFFF00000000}"/>
  </bookViews>
  <sheets>
    <sheet name="Menú" sheetId="19" r:id="rId1"/>
    <sheet name="INICIO" sheetId="12" r:id="rId2"/>
    <sheet name="Freq y Prop" sheetId="18" r:id="rId3"/>
    <sheet name="Descripción" sheetId="13" r:id="rId4"/>
    <sheet name="Perfilamiento" sheetId="15" r:id="rId5"/>
    <sheet name="Variables" sheetId="3" r:id="rId6"/>
    <sheet name="Folio" sheetId="11" r:id="rId7"/>
  </sheets>
  <definedNames>
    <definedName name="_xlnm._FilterDatabase" localSheetId="2" hidden="1">'Freq y Prop'!$A$5:$F$413</definedName>
    <definedName name="_xlnm._FilterDatabase" localSheetId="4" hidden="1">Perfilamiento!$E$5:$O$5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3" i="15" l="1"/>
  <c r="N64" i="15"/>
  <c r="O258" i="15" l="1"/>
  <c r="L181" i="15"/>
  <c r="M181" i="15"/>
  <c r="N181" i="15"/>
  <c r="O181" i="15"/>
  <c r="L182" i="15"/>
  <c r="M182" i="15"/>
  <c r="N182" i="15"/>
  <c r="O182" i="15"/>
  <c r="L183" i="15"/>
  <c r="M183" i="15"/>
  <c r="N183" i="15"/>
  <c r="O183" i="15"/>
  <c r="L184" i="15"/>
  <c r="M184" i="15"/>
  <c r="N184" i="15"/>
  <c r="O184" i="15"/>
  <c r="L185" i="15"/>
  <c r="M185" i="15"/>
  <c r="N185" i="15"/>
  <c r="O185" i="15"/>
  <c r="L186" i="15"/>
  <c r="M186" i="15"/>
  <c r="N186" i="15"/>
  <c r="O186" i="15"/>
  <c r="L187" i="15"/>
  <c r="M187" i="15"/>
  <c r="N187" i="15"/>
  <c r="O187" i="15"/>
  <c r="L188" i="15"/>
  <c r="M188" i="15"/>
  <c r="N188" i="15"/>
  <c r="O188" i="15"/>
  <c r="L189" i="15"/>
  <c r="M189" i="15"/>
  <c r="N189" i="15"/>
  <c r="O189" i="15"/>
  <c r="L190" i="15"/>
  <c r="M190" i="15"/>
  <c r="N190" i="15"/>
  <c r="O190" i="15"/>
  <c r="L191" i="15"/>
  <c r="M191" i="15"/>
  <c r="N191" i="15"/>
  <c r="O191" i="15"/>
  <c r="L192" i="15"/>
  <c r="M192" i="15"/>
  <c r="N192" i="15"/>
  <c r="O192" i="15"/>
  <c r="L193" i="15"/>
  <c r="M193" i="15"/>
  <c r="N193" i="15"/>
  <c r="O193" i="15"/>
  <c r="L194" i="15"/>
  <c r="M194" i="15"/>
  <c r="N194" i="15"/>
  <c r="O194" i="15"/>
  <c r="L195" i="15"/>
  <c r="M195" i="15"/>
  <c r="N195" i="15"/>
  <c r="O195" i="15"/>
  <c r="L196" i="15"/>
  <c r="M196" i="15"/>
  <c r="N196" i="15"/>
  <c r="O196" i="15"/>
  <c r="L197" i="15"/>
  <c r="M197" i="15"/>
  <c r="N197" i="15"/>
  <c r="O197" i="15"/>
  <c r="L198" i="15"/>
  <c r="M198" i="15"/>
  <c r="N198" i="15"/>
  <c r="O198" i="15"/>
  <c r="L199" i="15"/>
  <c r="M199" i="15"/>
  <c r="N199" i="15"/>
  <c r="O199" i="15"/>
  <c r="L200" i="15"/>
  <c r="M200" i="15"/>
  <c r="N200" i="15"/>
  <c r="O200" i="15"/>
  <c r="L201" i="15"/>
  <c r="M201" i="15"/>
  <c r="N201" i="15"/>
  <c r="O201" i="15"/>
  <c r="L202" i="15"/>
  <c r="M202" i="15"/>
  <c r="N202" i="15"/>
  <c r="O202" i="15"/>
  <c r="L203" i="15"/>
  <c r="M203" i="15"/>
  <c r="N203" i="15"/>
  <c r="O203" i="15"/>
  <c r="L204" i="15"/>
  <c r="M204" i="15"/>
  <c r="N204" i="15"/>
  <c r="O204" i="15"/>
  <c r="L205" i="15"/>
  <c r="M205" i="15"/>
  <c r="N205" i="15"/>
  <c r="O205" i="15"/>
  <c r="L206" i="15"/>
  <c r="M206" i="15"/>
  <c r="N206" i="15"/>
  <c r="O206" i="15"/>
  <c r="L207" i="15"/>
  <c r="M207" i="15"/>
  <c r="N207" i="15"/>
  <c r="O207" i="15"/>
  <c r="L208" i="15"/>
  <c r="M208" i="15"/>
  <c r="N208" i="15"/>
  <c r="O208" i="15"/>
  <c r="L209" i="15"/>
  <c r="M209" i="15"/>
  <c r="N209" i="15"/>
  <c r="O209" i="15"/>
  <c r="L210" i="15"/>
  <c r="M210" i="15"/>
  <c r="N210" i="15"/>
  <c r="O210" i="15"/>
  <c r="L211" i="15"/>
  <c r="M211" i="15"/>
  <c r="N211" i="15"/>
  <c r="O211" i="15"/>
  <c r="L212" i="15"/>
  <c r="M212" i="15"/>
  <c r="N212" i="15"/>
  <c r="O212" i="15"/>
  <c r="L213" i="15"/>
  <c r="M213" i="15"/>
  <c r="N213" i="15"/>
  <c r="O213" i="15"/>
  <c r="L214" i="15"/>
  <c r="M214" i="15"/>
  <c r="N214" i="15"/>
  <c r="O214" i="15"/>
  <c r="L215" i="15"/>
  <c r="M215" i="15"/>
  <c r="N215" i="15"/>
  <c r="O215" i="15"/>
  <c r="L216" i="15"/>
  <c r="M216" i="15"/>
  <c r="N216" i="15"/>
  <c r="O216" i="15"/>
  <c r="L217" i="15"/>
  <c r="M217" i="15"/>
  <c r="N217" i="15"/>
  <c r="O217" i="15"/>
  <c r="L218" i="15"/>
  <c r="M218" i="15"/>
  <c r="N218" i="15"/>
  <c r="O218" i="15"/>
  <c r="L219" i="15"/>
  <c r="M219" i="15"/>
  <c r="N219" i="15"/>
  <c r="O219" i="15"/>
  <c r="L220" i="15"/>
  <c r="M220" i="15"/>
  <c r="N220" i="15"/>
  <c r="O220" i="15"/>
  <c r="L221" i="15"/>
  <c r="M221" i="15"/>
  <c r="N221" i="15"/>
  <c r="O221" i="15"/>
  <c r="L222" i="15"/>
  <c r="M222" i="15"/>
  <c r="N222" i="15"/>
  <c r="O222" i="15"/>
  <c r="L223" i="15"/>
  <c r="M223" i="15"/>
  <c r="N223" i="15"/>
  <c r="O223" i="15"/>
  <c r="L224" i="15"/>
  <c r="M224" i="15"/>
  <c r="N224" i="15"/>
  <c r="O224" i="15"/>
  <c r="L225" i="15"/>
  <c r="M225" i="15"/>
  <c r="N225" i="15"/>
  <c r="O225" i="15"/>
  <c r="L226" i="15"/>
  <c r="M226" i="15"/>
  <c r="N226" i="15"/>
  <c r="O226" i="15"/>
  <c r="L227" i="15"/>
  <c r="M227" i="15"/>
  <c r="N227" i="15"/>
  <c r="O227" i="15"/>
  <c r="L228" i="15"/>
  <c r="M228" i="15"/>
  <c r="N228" i="15"/>
  <c r="O228" i="15"/>
  <c r="L229" i="15"/>
  <c r="M229" i="15"/>
  <c r="N229" i="15"/>
  <c r="O229" i="15"/>
  <c r="L230" i="15"/>
  <c r="M230" i="15"/>
  <c r="N230" i="15"/>
  <c r="O230" i="15"/>
  <c r="L231" i="15"/>
  <c r="M231" i="15"/>
  <c r="N231" i="15"/>
  <c r="O231" i="15"/>
  <c r="L232" i="15"/>
  <c r="M232" i="15"/>
  <c r="N232" i="15"/>
  <c r="O232" i="15"/>
  <c r="L233" i="15"/>
  <c r="M233" i="15"/>
  <c r="N233" i="15"/>
  <c r="O233" i="15"/>
  <c r="L234" i="15"/>
  <c r="M234" i="15"/>
  <c r="N234" i="15"/>
  <c r="O234" i="15"/>
  <c r="L235" i="15"/>
  <c r="M235" i="15"/>
  <c r="N235" i="15"/>
  <c r="O235" i="15"/>
  <c r="L236" i="15"/>
  <c r="M236" i="15"/>
  <c r="N236" i="15"/>
  <c r="O236" i="15"/>
  <c r="L237" i="15"/>
  <c r="M237" i="15"/>
  <c r="N237" i="15"/>
  <c r="O237" i="15"/>
  <c r="L238" i="15"/>
  <c r="M238" i="15"/>
  <c r="N238" i="15"/>
  <c r="O238" i="15"/>
  <c r="L239" i="15"/>
  <c r="M239" i="15"/>
  <c r="N239" i="15"/>
  <c r="O239" i="15"/>
  <c r="L240" i="15"/>
  <c r="M240" i="15"/>
  <c r="N240" i="15"/>
  <c r="O240" i="15"/>
  <c r="L241" i="15"/>
  <c r="M241" i="15"/>
  <c r="N241" i="15"/>
  <c r="O241" i="15"/>
  <c r="L242" i="15"/>
  <c r="M242" i="15"/>
  <c r="N242" i="15"/>
  <c r="O242" i="15"/>
  <c r="L243" i="15"/>
  <c r="M243" i="15"/>
  <c r="N243" i="15"/>
  <c r="O243" i="15"/>
  <c r="L244" i="15"/>
  <c r="M244" i="15"/>
  <c r="N244" i="15"/>
  <c r="O244" i="15"/>
  <c r="L245" i="15"/>
  <c r="M245" i="15"/>
  <c r="N245" i="15"/>
  <c r="O245" i="15"/>
  <c r="L246" i="15"/>
  <c r="M246" i="15"/>
  <c r="N246" i="15"/>
  <c r="O246" i="15"/>
  <c r="L247" i="15"/>
  <c r="M247" i="15"/>
  <c r="N247" i="15"/>
  <c r="O247" i="15"/>
  <c r="L248" i="15"/>
  <c r="M248" i="15"/>
  <c r="N248" i="15"/>
  <c r="O248" i="15"/>
  <c r="L249" i="15"/>
  <c r="M249" i="15"/>
  <c r="N249" i="15"/>
  <c r="O249" i="15"/>
  <c r="L250" i="15"/>
  <c r="M250" i="15"/>
  <c r="N250" i="15"/>
  <c r="O250" i="15"/>
  <c r="L251" i="15"/>
  <c r="M251" i="15"/>
  <c r="N251" i="15"/>
  <c r="O251" i="15"/>
  <c r="L252" i="15"/>
  <c r="M252" i="15"/>
  <c r="N252" i="15"/>
  <c r="O252" i="15"/>
  <c r="L253" i="15"/>
  <c r="M253" i="15"/>
  <c r="N253" i="15"/>
  <c r="O253" i="15"/>
  <c r="L254" i="15"/>
  <c r="M254" i="15"/>
  <c r="N254" i="15"/>
  <c r="O254" i="15"/>
  <c r="L255" i="15"/>
  <c r="M255" i="15"/>
  <c r="N255" i="15"/>
  <c r="O255" i="15"/>
  <c r="L256" i="15"/>
  <c r="M256" i="15"/>
  <c r="N256" i="15"/>
  <c r="O256" i="15"/>
  <c r="L257" i="15"/>
  <c r="M257" i="15"/>
  <c r="N257" i="15"/>
  <c r="O257" i="15"/>
  <c r="L258" i="15"/>
  <c r="M258" i="15"/>
  <c r="N258" i="15"/>
  <c r="L270" i="15"/>
  <c r="M270" i="15"/>
  <c r="N270" i="15"/>
  <c r="O270" i="15"/>
  <c r="L271" i="15"/>
  <c r="M271" i="15"/>
  <c r="N271" i="15"/>
  <c r="O271" i="15"/>
  <c r="L272" i="15"/>
  <c r="M272" i="15"/>
  <c r="N272" i="15"/>
  <c r="O272" i="15"/>
  <c r="L273" i="15"/>
  <c r="M273" i="15"/>
  <c r="N273" i="15"/>
  <c r="O273" i="15"/>
  <c r="L274" i="15"/>
  <c r="M274" i="15"/>
  <c r="N274" i="15"/>
  <c r="O274" i="15"/>
  <c r="L275" i="15"/>
  <c r="M275" i="15"/>
  <c r="N275" i="15"/>
  <c r="O275" i="15"/>
  <c r="L276" i="15"/>
  <c r="M276" i="15"/>
  <c r="N276" i="15"/>
  <c r="O276" i="15"/>
  <c r="L277" i="15"/>
  <c r="M277" i="15"/>
  <c r="N277" i="15"/>
  <c r="O277" i="15"/>
  <c r="L278" i="15"/>
  <c r="M278" i="15"/>
  <c r="N278" i="15"/>
  <c r="O278" i="15"/>
  <c r="L279" i="15"/>
  <c r="M279" i="15"/>
  <c r="N279" i="15"/>
  <c r="O279" i="15"/>
  <c r="L280" i="15"/>
  <c r="M280" i="15"/>
  <c r="N280" i="15"/>
  <c r="O280" i="15"/>
  <c r="L281" i="15"/>
  <c r="M281" i="15"/>
  <c r="N281" i="15"/>
  <c r="O281" i="15"/>
  <c r="L261" i="15"/>
  <c r="O269" i="15"/>
  <c r="N269" i="15"/>
  <c r="M269" i="15"/>
  <c r="L269" i="15"/>
  <c r="O268" i="15"/>
  <c r="N268" i="15"/>
  <c r="M268" i="15"/>
  <c r="L268" i="15"/>
  <c r="O267" i="15"/>
  <c r="N267" i="15"/>
  <c r="M267" i="15"/>
  <c r="L267" i="15"/>
  <c r="O266" i="15"/>
  <c r="N266" i="15"/>
  <c r="M266" i="15"/>
  <c r="L266" i="15"/>
  <c r="O265" i="15"/>
  <c r="N265" i="15"/>
  <c r="M265" i="15"/>
  <c r="L265" i="15"/>
  <c r="O264" i="15"/>
  <c r="N264" i="15"/>
  <c r="M264" i="15"/>
  <c r="L264" i="15"/>
  <c r="O263" i="15"/>
  <c r="N263" i="15"/>
  <c r="M263" i="15"/>
  <c r="L263" i="15"/>
  <c r="O262" i="15"/>
  <c r="N262" i="15"/>
  <c r="M262" i="15"/>
  <c r="L262" i="15"/>
  <c r="O261" i="15"/>
  <c r="N261" i="15"/>
  <c r="M261" i="15"/>
  <c r="L166" i="15" l="1"/>
  <c r="M166" i="15"/>
  <c r="N166" i="15"/>
  <c r="O166" i="15"/>
  <c r="L167" i="15"/>
  <c r="M167" i="15"/>
  <c r="N167" i="15"/>
  <c r="O167" i="15"/>
  <c r="L168" i="15"/>
  <c r="M168" i="15"/>
  <c r="N168" i="15"/>
  <c r="O168" i="15"/>
  <c r="L169" i="15"/>
  <c r="M169" i="15"/>
  <c r="N169" i="15"/>
  <c r="O169" i="15"/>
  <c r="L170" i="15"/>
  <c r="M170" i="15"/>
  <c r="N170" i="15"/>
  <c r="O170" i="15"/>
  <c r="L171" i="15"/>
  <c r="M171" i="15"/>
  <c r="N171" i="15"/>
  <c r="O171" i="15"/>
  <c r="L172" i="15"/>
  <c r="M172" i="15"/>
  <c r="N172" i="15"/>
  <c r="O172" i="15"/>
  <c r="L173" i="15"/>
  <c r="M173" i="15"/>
  <c r="N173" i="15"/>
  <c r="O173" i="15"/>
  <c r="L174" i="15"/>
  <c r="M174" i="15"/>
  <c r="N174" i="15"/>
  <c r="O174" i="15"/>
  <c r="L175" i="15"/>
  <c r="M175" i="15"/>
  <c r="N175" i="15"/>
  <c r="O175" i="15"/>
  <c r="L176" i="15"/>
  <c r="M176" i="15"/>
  <c r="N176" i="15"/>
  <c r="O176" i="15"/>
  <c r="L177" i="15"/>
  <c r="M177" i="15"/>
  <c r="N177" i="15"/>
  <c r="O177" i="15"/>
  <c r="L178" i="15"/>
  <c r="M178" i="15"/>
  <c r="N178" i="15"/>
  <c r="O178" i="15"/>
  <c r="L179" i="15"/>
  <c r="M179" i="15"/>
  <c r="N179" i="15"/>
  <c r="O179" i="15"/>
  <c r="L180" i="15"/>
  <c r="M180" i="15"/>
  <c r="N180" i="15"/>
  <c r="O180" i="15"/>
  <c r="O165" i="15"/>
  <c r="N165" i="15"/>
  <c r="M165" i="15"/>
  <c r="L165" i="15"/>
  <c r="O164" i="15"/>
  <c r="N164" i="15"/>
  <c r="M164" i="15"/>
  <c r="L164" i="15"/>
  <c r="O163" i="15"/>
  <c r="N163" i="15"/>
  <c r="M163" i="15"/>
  <c r="L163" i="15"/>
  <c r="O162" i="15"/>
  <c r="N162" i="15"/>
  <c r="M162" i="15"/>
  <c r="L162" i="15"/>
  <c r="O161" i="15"/>
  <c r="N161" i="15"/>
  <c r="M161" i="15"/>
  <c r="L161" i="15"/>
  <c r="O160" i="15"/>
  <c r="N160" i="15"/>
  <c r="M160" i="15"/>
  <c r="L160" i="15"/>
  <c r="O159" i="15"/>
  <c r="N159" i="15"/>
  <c r="M159" i="15"/>
  <c r="L159" i="15"/>
  <c r="J3" i="15"/>
  <c r="L141" i="15"/>
  <c r="M141" i="15"/>
  <c r="N141" i="15"/>
  <c r="O141" i="15"/>
  <c r="L142" i="15"/>
  <c r="M142" i="15"/>
  <c r="N142" i="15"/>
  <c r="O142" i="15"/>
  <c r="L143" i="15"/>
  <c r="M143" i="15"/>
  <c r="N143" i="15"/>
  <c r="O143" i="15"/>
  <c r="L144" i="15"/>
  <c r="M144" i="15"/>
  <c r="N144" i="15"/>
  <c r="O144" i="15"/>
  <c r="L145" i="15"/>
  <c r="M145" i="15"/>
  <c r="N145" i="15"/>
  <c r="O145" i="15"/>
  <c r="L146" i="15"/>
  <c r="M146" i="15"/>
  <c r="N146" i="15"/>
  <c r="O146" i="15"/>
  <c r="L147" i="15"/>
  <c r="M147" i="15"/>
  <c r="N147" i="15"/>
  <c r="O147" i="15"/>
  <c r="L148" i="15"/>
  <c r="M148" i="15"/>
  <c r="N148" i="15"/>
  <c r="O148" i="15"/>
  <c r="L149" i="15"/>
  <c r="M149" i="15"/>
  <c r="N149" i="15"/>
  <c r="O149" i="15"/>
  <c r="L150" i="15"/>
  <c r="M150" i="15"/>
  <c r="N150" i="15"/>
  <c r="O150" i="15"/>
  <c r="L151" i="15"/>
  <c r="M151" i="15"/>
  <c r="N151" i="15"/>
  <c r="O151" i="15"/>
  <c r="L152" i="15"/>
  <c r="M152" i="15"/>
  <c r="N152" i="15"/>
  <c r="O152" i="15"/>
  <c r="L153" i="15"/>
  <c r="M153" i="15"/>
  <c r="N153" i="15"/>
  <c r="O153" i="15"/>
  <c r="L154" i="15"/>
  <c r="M154" i="15"/>
  <c r="N154" i="15"/>
  <c r="O154" i="15"/>
  <c r="L155" i="15"/>
  <c r="M155" i="15"/>
  <c r="N155" i="15"/>
  <c r="O155" i="15"/>
  <c r="L156" i="15"/>
  <c r="M156" i="15"/>
  <c r="N156" i="15"/>
  <c r="O156" i="15"/>
  <c r="O140" i="15"/>
  <c r="N140" i="15"/>
  <c r="M140" i="15"/>
  <c r="L140" i="15"/>
  <c r="O139" i="15"/>
  <c r="N139" i="15"/>
  <c r="M139" i="15"/>
  <c r="L139" i="15"/>
  <c r="L121" i="15"/>
  <c r="M121" i="15"/>
  <c r="N121" i="15"/>
  <c r="O121" i="15"/>
  <c r="L122" i="15"/>
  <c r="M122" i="15"/>
  <c r="N122" i="15"/>
  <c r="O122" i="15"/>
  <c r="L123" i="15"/>
  <c r="M123" i="15"/>
  <c r="N123" i="15"/>
  <c r="O123" i="15"/>
  <c r="L124" i="15"/>
  <c r="M124" i="15"/>
  <c r="N124" i="15"/>
  <c r="O124" i="15"/>
  <c r="L125" i="15"/>
  <c r="M125" i="15"/>
  <c r="N125" i="15"/>
  <c r="O125" i="15"/>
  <c r="L126" i="15"/>
  <c r="M126" i="15"/>
  <c r="N126" i="15"/>
  <c r="O126" i="15"/>
  <c r="L127" i="15"/>
  <c r="M127" i="15"/>
  <c r="N127" i="15"/>
  <c r="O127" i="15"/>
  <c r="L128" i="15"/>
  <c r="M128" i="15"/>
  <c r="N128" i="15"/>
  <c r="O128" i="15"/>
  <c r="L129" i="15"/>
  <c r="M129" i="15"/>
  <c r="N129" i="15"/>
  <c r="O129" i="15"/>
  <c r="L130" i="15"/>
  <c r="M130" i="15"/>
  <c r="N130" i="15"/>
  <c r="O130" i="15"/>
  <c r="L131" i="15"/>
  <c r="M131" i="15"/>
  <c r="N131" i="15"/>
  <c r="O131" i="15"/>
  <c r="L132" i="15"/>
  <c r="M132" i="15"/>
  <c r="N132" i="15"/>
  <c r="O132" i="15"/>
  <c r="L133" i="15"/>
  <c r="M133" i="15"/>
  <c r="N133" i="15"/>
  <c r="O133" i="15"/>
  <c r="L134" i="15"/>
  <c r="M134" i="15"/>
  <c r="N134" i="15"/>
  <c r="O134" i="15"/>
  <c r="L135" i="15"/>
  <c r="M135" i="15"/>
  <c r="N135" i="15"/>
  <c r="O135" i="15"/>
  <c r="L136" i="15"/>
  <c r="M136" i="15"/>
  <c r="N136" i="15"/>
  <c r="O136" i="15"/>
  <c r="O120" i="15"/>
  <c r="N120" i="15"/>
  <c r="M120" i="15"/>
  <c r="L120" i="15"/>
  <c r="L102" i="15" l="1"/>
  <c r="M102" i="15"/>
  <c r="N102" i="15"/>
  <c r="O102" i="15"/>
  <c r="L103" i="15"/>
  <c r="M103" i="15"/>
  <c r="N103" i="15"/>
  <c r="O103" i="15"/>
  <c r="L104" i="15"/>
  <c r="M104" i="15"/>
  <c r="N104" i="15"/>
  <c r="O104" i="15"/>
  <c r="L105" i="15"/>
  <c r="M105" i="15"/>
  <c r="N105" i="15"/>
  <c r="O105" i="15"/>
  <c r="L106" i="15"/>
  <c r="M106" i="15"/>
  <c r="N106" i="15"/>
  <c r="O106" i="15"/>
  <c r="L107" i="15"/>
  <c r="M107" i="15"/>
  <c r="N107" i="15"/>
  <c r="O107" i="15"/>
  <c r="L108" i="15"/>
  <c r="M108" i="15"/>
  <c r="N108" i="15"/>
  <c r="O108" i="15"/>
  <c r="L109" i="15"/>
  <c r="M109" i="15"/>
  <c r="N109" i="15"/>
  <c r="O109" i="15"/>
  <c r="L110" i="15"/>
  <c r="M110" i="15"/>
  <c r="N110" i="15"/>
  <c r="O110" i="15"/>
  <c r="L111" i="15"/>
  <c r="M111" i="15"/>
  <c r="N111" i="15"/>
  <c r="O111" i="15"/>
  <c r="L112" i="15"/>
  <c r="M112" i="15"/>
  <c r="N112" i="15"/>
  <c r="O112" i="15"/>
  <c r="L113" i="15"/>
  <c r="M113" i="15"/>
  <c r="N113" i="15"/>
  <c r="O113" i="15"/>
  <c r="L114" i="15"/>
  <c r="M114" i="15"/>
  <c r="N114" i="15"/>
  <c r="O114" i="15"/>
  <c r="L115" i="15"/>
  <c r="M115" i="15"/>
  <c r="N115" i="15"/>
  <c r="O115" i="15"/>
  <c r="L116" i="15"/>
  <c r="M116" i="15"/>
  <c r="N116" i="15"/>
  <c r="O116" i="15"/>
  <c r="L117" i="15"/>
  <c r="M117" i="15"/>
  <c r="N117" i="15"/>
  <c r="O117" i="15"/>
  <c r="O101" i="15"/>
  <c r="N101" i="15"/>
  <c r="M101" i="15"/>
  <c r="L101" i="15"/>
  <c r="O100" i="15"/>
  <c r="N100" i="15"/>
  <c r="M100" i="15"/>
  <c r="L100" i="15"/>
  <c r="O99" i="15"/>
  <c r="N99" i="15"/>
  <c r="M99" i="15"/>
  <c r="L99" i="15"/>
  <c r="L81" i="15"/>
  <c r="M81" i="15"/>
  <c r="N81" i="15"/>
  <c r="O81" i="15"/>
  <c r="L82" i="15"/>
  <c r="M82" i="15"/>
  <c r="N82" i="15"/>
  <c r="O82" i="15"/>
  <c r="L83" i="15"/>
  <c r="M83" i="15"/>
  <c r="N83" i="15"/>
  <c r="O83" i="15"/>
  <c r="L84" i="15"/>
  <c r="M84" i="15"/>
  <c r="N84" i="15"/>
  <c r="O84" i="15"/>
  <c r="L85" i="15"/>
  <c r="M85" i="15"/>
  <c r="N85" i="15"/>
  <c r="O85" i="15"/>
  <c r="L86" i="15"/>
  <c r="M86" i="15"/>
  <c r="N86" i="15"/>
  <c r="O86" i="15"/>
  <c r="L87" i="15"/>
  <c r="M87" i="15"/>
  <c r="N87" i="15"/>
  <c r="O87" i="15"/>
  <c r="L88" i="15"/>
  <c r="M88" i="15"/>
  <c r="N88" i="15"/>
  <c r="O88" i="15"/>
  <c r="L89" i="15"/>
  <c r="M89" i="15"/>
  <c r="N89" i="15"/>
  <c r="O89" i="15"/>
  <c r="L90" i="15"/>
  <c r="M90" i="15"/>
  <c r="N90" i="15"/>
  <c r="O90" i="15"/>
  <c r="L91" i="15"/>
  <c r="M91" i="15"/>
  <c r="N91" i="15"/>
  <c r="O91" i="15"/>
  <c r="L92" i="15"/>
  <c r="M92" i="15"/>
  <c r="N92" i="15"/>
  <c r="O92" i="15"/>
  <c r="L93" i="15"/>
  <c r="M93" i="15"/>
  <c r="N93" i="15"/>
  <c r="O93" i="15"/>
  <c r="L94" i="15"/>
  <c r="M94" i="15"/>
  <c r="N94" i="15"/>
  <c r="O94" i="15"/>
  <c r="L95" i="15"/>
  <c r="M95" i="15"/>
  <c r="N95" i="15"/>
  <c r="O95" i="15"/>
  <c r="L96" i="15"/>
  <c r="M96" i="15"/>
  <c r="N96" i="15"/>
  <c r="O96" i="15"/>
  <c r="O80" i="15"/>
  <c r="N80" i="15"/>
  <c r="M80" i="15"/>
  <c r="L80" i="15"/>
  <c r="O79" i="15"/>
  <c r="N79" i="15"/>
  <c r="M79" i="15"/>
  <c r="L79" i="15"/>
  <c r="F76" i="15"/>
  <c r="L67" i="15" l="1"/>
  <c r="G76" i="15"/>
  <c r="H76" i="15"/>
  <c r="I76" i="15"/>
  <c r="J76" i="15"/>
  <c r="L76" i="15" s="1"/>
  <c r="L45" i="15"/>
  <c r="L55" i="15"/>
  <c r="M55" i="15"/>
  <c r="N55" i="15"/>
  <c r="O55" i="15"/>
  <c r="L56" i="15"/>
  <c r="M56" i="15"/>
  <c r="N56" i="15"/>
  <c r="O56" i="15"/>
  <c r="L57" i="15"/>
  <c r="M57" i="15"/>
  <c r="N57" i="15"/>
  <c r="O57" i="15"/>
  <c r="L58" i="15"/>
  <c r="M58" i="15"/>
  <c r="N58" i="15"/>
  <c r="O58" i="15"/>
  <c r="L59" i="15"/>
  <c r="M59" i="15"/>
  <c r="N59" i="15"/>
  <c r="O59" i="15"/>
  <c r="L60" i="15"/>
  <c r="M60" i="15"/>
  <c r="N60" i="15"/>
  <c r="O60" i="15"/>
  <c r="L61" i="15"/>
  <c r="M61" i="15"/>
  <c r="N61" i="15"/>
  <c r="O61" i="15"/>
  <c r="L62" i="15"/>
  <c r="M62" i="15"/>
  <c r="N62" i="15"/>
  <c r="O62" i="15"/>
  <c r="L63" i="15"/>
  <c r="M63" i="15"/>
  <c r="N63" i="15"/>
  <c r="O63" i="15"/>
  <c r="L64" i="15"/>
  <c r="M64" i="15"/>
  <c r="O64" i="15"/>
  <c r="L52" i="15"/>
  <c r="M52" i="15"/>
  <c r="N52" i="15"/>
  <c r="O52" i="15"/>
  <c r="L53" i="15"/>
  <c r="M53" i="15"/>
  <c r="N53" i="15"/>
  <c r="O53" i="15"/>
  <c r="L54" i="15"/>
  <c r="M54" i="15"/>
  <c r="N54" i="15"/>
  <c r="O54" i="15"/>
  <c r="L46" i="15"/>
  <c r="L47" i="15"/>
  <c r="L48" i="15"/>
  <c r="L49" i="15"/>
  <c r="L50" i="15"/>
  <c r="L51" i="15"/>
  <c r="O51" i="15"/>
  <c r="N51" i="15"/>
  <c r="M51" i="15"/>
  <c r="O50" i="15"/>
  <c r="N50" i="15"/>
  <c r="M50" i="15"/>
  <c r="O49" i="15"/>
  <c r="N49" i="15"/>
  <c r="M49" i="15"/>
  <c r="O48" i="15"/>
  <c r="N48" i="15"/>
  <c r="M48" i="15"/>
  <c r="O47" i="15"/>
  <c r="N47" i="15"/>
  <c r="M47" i="15"/>
  <c r="O46" i="15"/>
  <c r="N46" i="15"/>
  <c r="M46" i="15"/>
  <c r="O45" i="15"/>
  <c r="N45" i="15"/>
  <c r="M45" i="15"/>
  <c r="L36" i="15"/>
  <c r="G42" i="15"/>
  <c r="H42" i="15"/>
  <c r="I42" i="15"/>
  <c r="J42" i="15"/>
  <c r="F42" i="15"/>
  <c r="L20" i="15"/>
  <c r="F32" i="15"/>
  <c r="I17" i="15"/>
  <c r="H17" i="15"/>
  <c r="G17" i="15"/>
  <c r="F17" i="15"/>
  <c r="L42" i="15" l="1"/>
  <c r="J26" i="15" l="1"/>
  <c r="M67" i="15"/>
  <c r="N67" i="15"/>
  <c r="O67" i="15"/>
  <c r="M68" i="15"/>
  <c r="N68" i="15"/>
  <c r="O68" i="15"/>
  <c r="M69" i="15"/>
  <c r="N69" i="15"/>
  <c r="O69" i="15"/>
  <c r="M70" i="15"/>
  <c r="N70" i="15"/>
  <c r="O70" i="15"/>
  <c r="M71" i="15"/>
  <c r="N71" i="15"/>
  <c r="O71" i="15"/>
  <c r="M72" i="15"/>
  <c r="N72" i="15"/>
  <c r="O72" i="15"/>
  <c r="M73" i="15"/>
  <c r="N73" i="15"/>
  <c r="O73" i="15"/>
  <c r="M74" i="15"/>
  <c r="N74" i="15"/>
  <c r="O74" i="15"/>
  <c r="M75" i="15"/>
  <c r="N75" i="15"/>
  <c r="O75" i="15"/>
  <c r="L68" i="15"/>
  <c r="L69" i="15"/>
  <c r="L70" i="15"/>
  <c r="L71" i="15"/>
  <c r="L72" i="15"/>
  <c r="L73" i="15"/>
  <c r="L74" i="15"/>
  <c r="L75" i="15"/>
  <c r="M36" i="15"/>
  <c r="N36" i="15"/>
  <c r="O36" i="15"/>
  <c r="M37" i="15"/>
  <c r="N37" i="15"/>
  <c r="O37" i="15"/>
  <c r="M38" i="15"/>
  <c r="N38" i="15"/>
  <c r="O38" i="15"/>
  <c r="M39" i="15"/>
  <c r="N39" i="15"/>
  <c r="O39" i="15"/>
  <c r="M40" i="15"/>
  <c r="N40" i="15"/>
  <c r="O40" i="15"/>
  <c r="M41" i="15"/>
  <c r="N41" i="15"/>
  <c r="O41" i="15"/>
  <c r="L37" i="15"/>
  <c r="L38" i="15"/>
  <c r="L39" i="15"/>
  <c r="L40" i="15"/>
  <c r="L41" i="15"/>
  <c r="O30" i="15"/>
  <c r="O31" i="15"/>
  <c r="N30" i="15"/>
  <c r="N31" i="15"/>
  <c r="M30" i="15"/>
  <c r="M31" i="15"/>
  <c r="M29" i="15"/>
  <c r="N29" i="15"/>
  <c r="O29" i="15"/>
  <c r="L29" i="15"/>
  <c r="L30" i="15"/>
  <c r="L31" i="15"/>
  <c r="O21" i="15"/>
  <c r="O22" i="15"/>
  <c r="O23" i="15"/>
  <c r="O24" i="15"/>
  <c r="O25" i="15"/>
  <c r="N21" i="15"/>
  <c r="N22" i="15"/>
  <c r="N23" i="15"/>
  <c r="N24" i="15"/>
  <c r="N25" i="15"/>
  <c r="M25" i="15"/>
  <c r="L25" i="15"/>
  <c r="M21" i="15"/>
  <c r="M22" i="15"/>
  <c r="M24" i="15"/>
  <c r="L21" i="15"/>
  <c r="L22" i="15"/>
  <c r="L23" i="15"/>
  <c r="L24" i="15"/>
  <c r="M20" i="15"/>
  <c r="N20" i="15"/>
  <c r="O20" i="15"/>
  <c r="M16" i="15"/>
  <c r="N16" i="15"/>
  <c r="O16" i="15"/>
  <c r="L16" i="15"/>
  <c r="L14" i="15"/>
  <c r="N13" i="15"/>
  <c r="M13" i="15"/>
  <c r="L13" i="15"/>
  <c r="O14" i="15"/>
  <c r="O15" i="15"/>
  <c r="N14" i="15"/>
  <c r="N15" i="15"/>
  <c r="M14" i="15"/>
  <c r="M15" i="15"/>
  <c r="L15" i="15"/>
  <c r="O13" i="15"/>
  <c r="L8" i="15"/>
  <c r="J32" i="15"/>
  <c r="L32" i="15" s="1"/>
  <c r="I32" i="15"/>
  <c r="H32" i="15"/>
  <c r="G32" i="15"/>
  <c r="I26" i="15"/>
  <c r="H26" i="15"/>
  <c r="G26" i="15"/>
  <c r="F26" i="15"/>
  <c r="L26" i="15" s="1"/>
  <c r="J17" i="15"/>
  <c r="L17" i="15" s="1"/>
  <c r="J10" i="15"/>
  <c r="I10" i="15"/>
  <c r="H10" i="15"/>
  <c r="G10" i="15"/>
  <c r="F10" i="15"/>
  <c r="L10" i="15" s="1"/>
  <c r="O9" i="15"/>
  <c r="N9" i="15"/>
  <c r="M9" i="15"/>
  <c r="L9" i="15"/>
  <c r="O8" i="15"/>
  <c r="N8" i="15"/>
  <c r="M8" i="15"/>
  <c r="M76" i="15" l="1"/>
  <c r="O76" i="15"/>
  <c r="O26" i="15"/>
  <c r="M17" i="15"/>
  <c r="N17" i="15"/>
  <c r="M26" i="15"/>
  <c r="M32" i="15"/>
  <c r="O17" i="15"/>
  <c r="N26" i="15"/>
  <c r="N32" i="15"/>
  <c r="O32" i="15"/>
  <c r="N76" i="15"/>
  <c r="M10" i="15"/>
  <c r="N10" i="15"/>
  <c r="O10" i="15"/>
  <c r="M42" i="15"/>
  <c r="N42" i="15"/>
  <c r="O42" i="15"/>
</calcChain>
</file>

<file path=xl/sharedStrings.xml><?xml version="1.0" encoding="utf-8"?>
<sst xmlns="http://schemas.openxmlformats.org/spreadsheetml/2006/main" count="1638" uniqueCount="474">
  <si>
    <t>Valor</t>
  </si>
  <si>
    <t>Key</t>
  </si>
  <si>
    <t>Etiqueta</t>
  </si>
  <si>
    <t>Freq</t>
  </si>
  <si>
    <t>Prop</t>
  </si>
  <si>
    <t>1</t>
  </si>
  <si>
    <t>2</t>
  </si>
  <si>
    <t>3</t>
  </si>
  <si>
    <t>sex</t>
  </si>
  <si>
    <t>Hombre</t>
  </si>
  <si>
    <t>Mujer</t>
  </si>
  <si>
    <t>C</t>
  </si>
  <si>
    <t>4</t>
  </si>
  <si>
    <t>5</t>
  </si>
  <si>
    <t>6</t>
  </si>
  <si>
    <t>7</t>
  </si>
  <si>
    <t>ABC+</t>
  </si>
  <si>
    <t>ZONA</t>
  </si>
  <si>
    <t>AREA NIELSEN I (Pacifico)</t>
  </si>
  <si>
    <t>AREA NIELSEN II (Norte)</t>
  </si>
  <si>
    <t>AREA NIELSEN III (Bajío)</t>
  </si>
  <si>
    <t>AREA NIELSEN IV (Centro)</t>
  </si>
  <si>
    <t>AREA NIELSEN V (D.F.)</t>
  </si>
  <si>
    <t>AREA NIELSEN VI (Sureste)</t>
  </si>
  <si>
    <t>F1</t>
  </si>
  <si>
    <t>Empleado y tengo un negocio propio o empresa</t>
  </si>
  <si>
    <t>Empleado y quiero emprender un negocio propio o empresa</t>
  </si>
  <si>
    <t>Atiendo mi propio negocio o empresa y quisiera emprender</t>
  </si>
  <si>
    <t>Freelance y quiero emprender mi propio negocio o empresa</t>
  </si>
  <si>
    <t>Soy estudiante y tengo una idea para emprender</t>
  </si>
  <si>
    <t>Soy ama de casa y tengo una idea para emprender</t>
  </si>
  <si>
    <t>8</t>
  </si>
  <si>
    <t>9</t>
  </si>
  <si>
    <t>10</t>
  </si>
  <si>
    <t>PE2</t>
  </si>
  <si>
    <t>Consultoría servicios profesionales</t>
  </si>
  <si>
    <t>Mercadotecnia Publicidad y afines</t>
  </si>
  <si>
    <t>Educación y / o industria del conocimiento</t>
  </si>
  <si>
    <t>Consumo al por menor como tienditas o bazares</t>
  </si>
  <si>
    <t>Gastronomía y Alimentos cómo restaurantes, taquerías, fondas.</t>
  </si>
  <si>
    <t>Salud y Farmacia</t>
  </si>
  <si>
    <t>Construcción</t>
  </si>
  <si>
    <t>Informática tecnológica</t>
  </si>
  <si>
    <t>Arte y cultura</t>
  </si>
  <si>
    <t>Manufactura</t>
  </si>
  <si>
    <t>11</t>
  </si>
  <si>
    <t>Productos artesanales hechos por mi</t>
  </si>
  <si>
    <t>12</t>
  </si>
  <si>
    <t>Tienda en línea para venta de productos o servicios</t>
  </si>
  <si>
    <t>13</t>
  </si>
  <si>
    <t>Producción de productos o servicios</t>
  </si>
  <si>
    <t>14</t>
  </si>
  <si>
    <t>Desarrollo de APPS</t>
  </si>
  <si>
    <t>15</t>
  </si>
  <si>
    <t>Venta de productos o servicios</t>
  </si>
  <si>
    <t>PE3#1</t>
  </si>
  <si>
    <t>0</t>
  </si>
  <si>
    <t>PE3#2</t>
  </si>
  <si>
    <t>PE3#3</t>
  </si>
  <si>
    <t>PE3#4</t>
  </si>
  <si>
    <t>PE3#5</t>
  </si>
  <si>
    <t>PE3#6</t>
  </si>
  <si>
    <t>PE3#7</t>
  </si>
  <si>
    <t>PE3#8</t>
  </si>
  <si>
    <t>PE3#9</t>
  </si>
  <si>
    <t>PE3#10</t>
  </si>
  <si>
    <t>PE3#11</t>
  </si>
  <si>
    <t>PE3#12</t>
  </si>
  <si>
    <t>PE3#13</t>
  </si>
  <si>
    <t>PE3#14</t>
  </si>
  <si>
    <t>PE3#15</t>
  </si>
  <si>
    <t>IN1</t>
  </si>
  <si>
    <t>Menos de $5,000</t>
  </si>
  <si>
    <t>De $5,000 a $20,000</t>
  </si>
  <si>
    <t>De $21,000 a $40,000</t>
  </si>
  <si>
    <t>De $41,000 a $60,000</t>
  </si>
  <si>
    <t>De $61,000 a $80,000</t>
  </si>
  <si>
    <t>De $81,000 a $100,000</t>
  </si>
  <si>
    <t>De $101,000 a $150,000</t>
  </si>
  <si>
    <t>De $151,000 a $300,000</t>
  </si>
  <si>
    <t>Más de $300,000</t>
  </si>
  <si>
    <t>PE5#1</t>
  </si>
  <si>
    <t>PE5#2</t>
  </si>
  <si>
    <t>PE5#3</t>
  </si>
  <si>
    <t>PE5#4</t>
  </si>
  <si>
    <t>PE5#5</t>
  </si>
  <si>
    <t>PE5#6</t>
  </si>
  <si>
    <t>PE5#7</t>
  </si>
  <si>
    <t>PE5#8</t>
  </si>
  <si>
    <t>PE5#9</t>
  </si>
  <si>
    <t>PE5#10</t>
  </si>
  <si>
    <t>PE5#11</t>
  </si>
  <si>
    <t>PE5#12</t>
  </si>
  <si>
    <t>PE5#13</t>
  </si>
  <si>
    <t>PE5#14</t>
  </si>
  <si>
    <t>PE5#15</t>
  </si>
  <si>
    <t>PE5#16</t>
  </si>
  <si>
    <t>PE5#17</t>
  </si>
  <si>
    <t>PE5#18</t>
  </si>
  <si>
    <t>PE10#1</t>
  </si>
  <si>
    <t>PE10#2</t>
  </si>
  <si>
    <t>PE10#3</t>
  </si>
  <si>
    <t>PE10#4</t>
  </si>
  <si>
    <t>PE10#5</t>
  </si>
  <si>
    <t>PE10#6</t>
  </si>
  <si>
    <t>PE10#7</t>
  </si>
  <si>
    <t>PE10#8</t>
  </si>
  <si>
    <t>PE10#9</t>
  </si>
  <si>
    <t>PE10#10</t>
  </si>
  <si>
    <t>PE10#11</t>
  </si>
  <si>
    <t>PE10#12</t>
  </si>
  <si>
    <t>PE10#13</t>
  </si>
  <si>
    <t>PE10#14</t>
  </si>
  <si>
    <t>PE10#15</t>
  </si>
  <si>
    <t>PE10#16</t>
  </si>
  <si>
    <t>PE10#17</t>
  </si>
  <si>
    <t>PE10#18</t>
  </si>
  <si>
    <t>SELECCIÓN DE VARIABLES</t>
  </si>
  <si>
    <t>G_Edad</t>
  </si>
  <si>
    <t>Variable</t>
  </si>
  <si>
    <t>Descripción</t>
  </si>
  <si>
    <t>PE5</t>
  </si>
  <si>
    <t>Miedos para emprender</t>
  </si>
  <si>
    <t>PE11</t>
  </si>
  <si>
    <t>PE6</t>
  </si>
  <si>
    <t>PE10</t>
  </si>
  <si>
    <t>18-30</t>
  </si>
  <si>
    <t>31-40</t>
  </si>
  <si>
    <t>41-49</t>
  </si>
  <si>
    <t>50+</t>
  </si>
  <si>
    <t>NSE_MOD</t>
  </si>
  <si>
    <t>C-D+</t>
  </si>
  <si>
    <t>numericalId</t>
  </si>
  <si>
    <t>16</t>
  </si>
  <si>
    <t>KMeans_Clusters 4</t>
  </si>
  <si>
    <t>HOJAS COLOR AZUL -&gt;  ENTREGABLE SEGMENTACIÓN</t>
  </si>
  <si>
    <t>Total</t>
  </si>
  <si>
    <t>Total general</t>
  </si>
  <si>
    <t>PE4#1</t>
  </si>
  <si>
    <t>PE4#2</t>
  </si>
  <si>
    <t>PE4#3</t>
  </si>
  <si>
    <t>PE4#4</t>
  </si>
  <si>
    <t>PE4#5</t>
  </si>
  <si>
    <t>PE4#6</t>
  </si>
  <si>
    <t>PE4#7</t>
  </si>
  <si>
    <t>PE4#8</t>
  </si>
  <si>
    <t>PE4#9</t>
  </si>
  <si>
    <t>PE4#10</t>
  </si>
  <si>
    <t>PE4#11</t>
  </si>
  <si>
    <t>PE4#12</t>
  </si>
  <si>
    <t>PE4#13</t>
  </si>
  <si>
    <t>PE4#14</t>
  </si>
  <si>
    <t>PE4#15</t>
  </si>
  <si>
    <t>PE4#16</t>
  </si>
  <si>
    <t>PE4#17</t>
  </si>
  <si>
    <t>PE4#18</t>
  </si>
  <si>
    <t>PE4#19</t>
  </si>
  <si>
    <t>PE4#20</t>
  </si>
  <si>
    <t>PE6_1M</t>
  </si>
  <si>
    <t>PE6_2M</t>
  </si>
  <si>
    <t>PE6_3M</t>
  </si>
  <si>
    <t>PE6_4M</t>
  </si>
  <si>
    <t>PE6_5M</t>
  </si>
  <si>
    <t>PE6_6M</t>
  </si>
  <si>
    <t>PE6_7M</t>
  </si>
  <si>
    <t>PE6_8M</t>
  </si>
  <si>
    <t>PE6_9M</t>
  </si>
  <si>
    <t>PE6_10M</t>
  </si>
  <si>
    <t>PE6_11M</t>
  </si>
  <si>
    <t>PE6_12M</t>
  </si>
  <si>
    <t>PE6_13M</t>
  </si>
  <si>
    <t>PE6_14M</t>
  </si>
  <si>
    <t>PE6_15M</t>
  </si>
  <si>
    <t>PE6_16M</t>
  </si>
  <si>
    <t>PE6_17M</t>
  </si>
  <si>
    <t>PE6_18M</t>
  </si>
  <si>
    <t>PE6_19M</t>
  </si>
  <si>
    <t>PE7#1</t>
  </si>
  <si>
    <t>PE7#2</t>
  </si>
  <si>
    <t>PE7#3</t>
  </si>
  <si>
    <t>PE7#4</t>
  </si>
  <si>
    <t>PE7#5</t>
  </si>
  <si>
    <t>PE7#6</t>
  </si>
  <si>
    <t>PE7#7</t>
  </si>
  <si>
    <t>PE7#8</t>
  </si>
  <si>
    <t>PE7#9</t>
  </si>
  <si>
    <t>PE7#10</t>
  </si>
  <si>
    <t>PE7#11</t>
  </si>
  <si>
    <t>PE7#12</t>
  </si>
  <si>
    <t>PE7#13</t>
  </si>
  <si>
    <t>PE7#14</t>
  </si>
  <si>
    <t>PE7#15</t>
  </si>
  <si>
    <t>PE7#16</t>
  </si>
  <si>
    <t>PE7#17</t>
  </si>
  <si>
    <t>PE9R_1</t>
  </si>
  <si>
    <t>PE9R_2</t>
  </si>
  <si>
    <t>PE9R_3</t>
  </si>
  <si>
    <t>PE9R_4</t>
  </si>
  <si>
    <t>PE9R_5</t>
  </si>
  <si>
    <t>PE9R_6</t>
  </si>
  <si>
    <t>PE9R_7</t>
  </si>
  <si>
    <t>PE9R_8</t>
  </si>
  <si>
    <t>PE9R_9</t>
  </si>
  <si>
    <t>PE9R_10</t>
  </si>
  <si>
    <t>PE11_1M</t>
  </si>
  <si>
    <t>PE11_2M</t>
  </si>
  <si>
    <t>PE11_3M</t>
  </si>
  <si>
    <t>PE11_4M</t>
  </si>
  <si>
    <t>PE11_5M</t>
  </si>
  <si>
    <t>PE11_6M</t>
  </si>
  <si>
    <t>PE11_7M</t>
  </si>
  <si>
    <t>PE11_8M</t>
  </si>
  <si>
    <t>PE11_9M</t>
  </si>
  <si>
    <t>PE11_10M</t>
  </si>
  <si>
    <t>PE11_11M</t>
  </si>
  <si>
    <t>PE11_12M</t>
  </si>
  <si>
    <t>PE11_13M</t>
  </si>
  <si>
    <t>PE11_14M</t>
  </si>
  <si>
    <t>PE11_15M</t>
  </si>
  <si>
    <t>PE11_16M</t>
  </si>
  <si>
    <t>PE11_17M</t>
  </si>
  <si>
    <t>PE11_18M</t>
  </si>
  <si>
    <t>PE11_19M</t>
  </si>
  <si>
    <t>PE11_20M</t>
  </si>
  <si>
    <t>PE11_21M</t>
  </si>
  <si>
    <t>EDO</t>
  </si>
  <si>
    <t>Casado(a) ó Unión Libre</t>
  </si>
  <si>
    <t>Comprometido(a)</t>
  </si>
  <si>
    <t>Divorciado (a) o Separado</t>
  </si>
  <si>
    <t>Viudo (a)</t>
  </si>
  <si>
    <t>Soltero (a)</t>
  </si>
  <si>
    <t>No invierto</t>
  </si>
  <si>
    <t>17</t>
  </si>
  <si>
    <t>Ninguna de los anteriores</t>
  </si>
  <si>
    <t>De acuerdo  1</t>
  </si>
  <si>
    <t>En desacuerdo  0</t>
  </si>
  <si>
    <t>Aprender a armar un plan de negocios</t>
  </si>
  <si>
    <t>Conocer cuáles son mis posibles clientes</t>
  </si>
  <si>
    <t>Saber dónde ubicar mi negocio</t>
  </si>
  <si>
    <t>Saber en qué puedo invertir con el capital que tengo</t>
  </si>
  <si>
    <t>Saber de qué manera puedo financiar mi emprendimiento</t>
  </si>
  <si>
    <t>Conocer cuál es mi competencia</t>
  </si>
  <si>
    <t>Evaluar las ofertas de negocio que son viables para mí</t>
  </si>
  <si>
    <t>Cómo administrar el negocio</t>
  </si>
  <si>
    <t>Herramientas prácticas para emprender</t>
  </si>
  <si>
    <t>Cómo ser un buen líder para mi negocio</t>
  </si>
  <si>
    <t>SEXO</t>
  </si>
  <si>
    <t>EDAD</t>
  </si>
  <si>
    <t>Crecimiento personal</t>
  </si>
  <si>
    <t>Obtener un ingreso extra</t>
  </si>
  <si>
    <t>Tener independencia financiera</t>
  </si>
  <si>
    <t>Desarrollar productos o servicios</t>
  </si>
  <si>
    <t>Dejar de tener jefe</t>
  </si>
  <si>
    <t>Darle mejor vida a mi familia</t>
  </si>
  <si>
    <t>Para aprender cosas nuevas</t>
  </si>
  <si>
    <t>Porque me gustan los negocios</t>
  </si>
  <si>
    <t xml:space="preserve">Lo que quiero vender me motiva </t>
  </si>
  <si>
    <t>Adquirir nuevas habilidades</t>
  </si>
  <si>
    <t>El gusto de tener mi propia empresa</t>
  </si>
  <si>
    <t>Solucionar algún problema del mercado que identifiqué</t>
  </si>
  <si>
    <t>Emprender es mi pasión</t>
  </si>
  <si>
    <t>Me gusta superar los retos que conlleva tener un negocio o empresa</t>
  </si>
  <si>
    <t>Demostrar a mi familia y amigos que puedo hacerlo</t>
  </si>
  <si>
    <t>Quiero enseñar lo que he aprendido a otras personas </t>
  </si>
  <si>
    <t>Me gusta ayudar a los demás a lograr sus objetivos de negocio </t>
  </si>
  <si>
    <t>Quiero apoyar iniciativas sociales </t>
  </si>
  <si>
    <t>Me gusta tener un trato cercano con la gente </t>
  </si>
  <si>
    <t>Me surgió la oportunidad y la aproveché  </t>
  </si>
  <si>
    <t>Perder todo el dinero que invertí</t>
  </si>
  <si>
    <t>Perder mi estabilidad económica</t>
  </si>
  <si>
    <t>Arriesgar la estabilidad de mi familia</t>
  </si>
  <si>
    <t>Que tenga una mala administración</t>
  </si>
  <si>
    <t>Que mi empresa o negocio fracase</t>
  </si>
  <si>
    <t>Que mis amigos y familiares me vean cómo un perdedor</t>
  </si>
  <si>
    <t>A no poder encontrar clientes</t>
  </si>
  <si>
    <t>Quebrar mi empresa o negocio</t>
  </si>
  <si>
    <t>Que mi familia no me apoye</t>
  </si>
  <si>
    <t>Mi falta de conocimiento sobre el negocio que emprendo</t>
  </si>
  <si>
    <t>Que los impuestos sean muchos</t>
  </si>
  <si>
    <t>A que no encuentre apoyos económicos</t>
  </si>
  <si>
    <t>Al rechazo de mis amigos, familiares o clientes</t>
  </si>
  <si>
    <t>Al compromiso con otros gastos</t>
  </si>
  <si>
    <t>Falta de tiempo para comenzar a emprender </t>
  </si>
  <si>
    <t>Carezco de tener las habilidades y capacidades necesarias para hacerlo </t>
  </si>
  <si>
    <t>Me falta la actitud para empezar a emprender </t>
  </si>
  <si>
    <t>Siento que no tengo la actitud de un buen vendedor </t>
  </si>
  <si>
    <t>Siempre tengo ahorros personales</t>
  </si>
  <si>
    <t>Siempre me organizo con las finanzas</t>
  </si>
  <si>
    <t>Soy muy organizado en mis gastos</t>
  </si>
  <si>
    <t>Gasto más de lo que gano</t>
  </si>
  <si>
    <t>Siempre utilizo correctamente mis tarjetas de crédito</t>
  </si>
  <si>
    <t>Siempre ahorro un poco de mi dinero para invertirlo</t>
  </si>
  <si>
    <t>Uso mi dinero solo en mis necesidades básicas</t>
  </si>
  <si>
    <t>Gasto la mayoría de mi dinero en lujos</t>
  </si>
  <si>
    <t>Siempre invierto todo lo que gano en mi negocio</t>
  </si>
  <si>
    <t>Tengo un fondo de emergencia para imprevistos</t>
  </si>
  <si>
    <t>Llevo el control de mis finanzas de manera ordenada</t>
  </si>
  <si>
    <t>Tengo un calendario que me recuerde mis pagos frecuentes</t>
  </si>
  <si>
    <t>Siempre le doy prioridad a mis gastos principales</t>
  </si>
  <si>
    <t>Antes de comprar algo reviso mis presupuestos</t>
  </si>
  <si>
    <t>Evito a toda costa endeudarme</t>
  </si>
  <si>
    <t>Siempre invierto sin importar si pierdo dinero o no </t>
  </si>
  <si>
    <t>Antes de invertir en algo analizo si me conviene </t>
  </si>
  <si>
    <t>Prefiero invertir en algo que no ocupe todo mi tiempo </t>
  </si>
  <si>
    <t>Siempre prefiero invertir todo mi dinero que hacerlo poco a poco  </t>
  </si>
  <si>
    <t>Tener mi propia empresa</t>
  </si>
  <si>
    <t>Tener una oficina o despacho propio</t>
  </si>
  <si>
    <t>Estar preparado para el futuro</t>
  </si>
  <si>
    <t>Organizar mejor mis finanzas</t>
  </si>
  <si>
    <t>Invertir en otros tipos de negocios</t>
  </si>
  <si>
    <t>Ser más productivo en mi negocio</t>
  </si>
  <si>
    <t>Invertir de manera pasiva</t>
  </si>
  <si>
    <t>Poder llevar a mi familia de vacaciones</t>
  </si>
  <si>
    <t>Dejar un negocio para que mi familia no sufra</t>
  </si>
  <si>
    <t>Que mi familia participe en el negocio familiar</t>
  </si>
  <si>
    <t>Abrir mi propio negocio</t>
  </si>
  <si>
    <t>Expandir mi negocio</t>
  </si>
  <si>
    <t>Mejorar los procesos de mi empresa</t>
  </si>
  <si>
    <t>Impactar positivamente a las personas </t>
  </si>
  <si>
    <t>Ayudar a mi comunidad </t>
  </si>
  <si>
    <t>Generar empleos </t>
  </si>
  <si>
    <t>Apoyar alguna causa social </t>
  </si>
  <si>
    <t>Facebook</t>
  </si>
  <si>
    <t>Twitter</t>
  </si>
  <si>
    <t>Instagram</t>
  </si>
  <si>
    <t>WhatsApp</t>
  </si>
  <si>
    <t>LinkedIn</t>
  </si>
  <si>
    <t>YouTube</t>
  </si>
  <si>
    <t>Tik Tok</t>
  </si>
  <si>
    <t>Sitios web</t>
  </si>
  <si>
    <t>Blogs relacionados al ramo</t>
  </si>
  <si>
    <r>
      <t>Google Maps</t>
    </r>
    <r>
      <rPr>
        <sz val="8"/>
        <color rgb="FF000000"/>
        <rFont val="Calibri"/>
        <family val="2"/>
        <scheme val="minor"/>
      </rPr>
      <t> </t>
    </r>
  </si>
  <si>
    <t>Periódico</t>
  </si>
  <si>
    <t>Volantes</t>
  </si>
  <si>
    <t>Mantas</t>
  </si>
  <si>
    <t>Revistas</t>
  </si>
  <si>
    <r>
      <t>Televisión</t>
    </r>
    <r>
      <rPr>
        <sz val="8"/>
        <color rgb="FF000000"/>
        <rFont val="Calibri"/>
        <family val="2"/>
        <scheme val="minor"/>
      </rPr>
      <t> </t>
    </r>
  </si>
  <si>
    <r>
      <t>Radio</t>
    </r>
    <r>
      <rPr>
        <sz val="8"/>
        <color rgb="FF000000"/>
        <rFont val="Calibri"/>
        <family val="2"/>
        <scheme val="minor"/>
      </rPr>
      <t> </t>
    </r>
  </si>
  <si>
    <r>
      <t>Marketing de guerrilla</t>
    </r>
    <r>
      <rPr>
        <sz val="8"/>
        <color rgb="FF000000"/>
        <rFont val="Calibri"/>
        <family val="2"/>
        <scheme val="minor"/>
      </rPr>
      <t> </t>
    </r>
  </si>
  <si>
    <r>
      <t>Demostradoras</t>
    </r>
    <r>
      <rPr>
        <sz val="8"/>
        <color rgb="FF000000"/>
        <rFont val="Calibri"/>
        <family val="2"/>
        <scheme val="minor"/>
      </rPr>
      <t> </t>
    </r>
  </si>
  <si>
    <t>Soy muy ordenado en todo lo que hago</t>
  </si>
  <si>
    <t>Me gusta que todo esté en su lugar</t>
  </si>
  <si>
    <t>Siempre apoyo a los que más lo necesitan</t>
  </si>
  <si>
    <t>Soy solidario con las desgracias de los demás</t>
  </si>
  <si>
    <t>Siempre me gusta estar activo</t>
  </si>
  <si>
    <t>Hago ejercicio para mantenerme en forma</t>
  </si>
  <si>
    <t>Siempre pienso en cómo generar más dinero</t>
  </si>
  <si>
    <t>Me la paso imaginando nuevos negocios</t>
  </si>
  <si>
    <t>Siempre pienso primero en mi familia</t>
  </si>
  <si>
    <t>Siempre prefiero pasar un fin de semana en familia</t>
  </si>
  <si>
    <t>Soy una persona muy curiosa</t>
  </si>
  <si>
    <t xml:space="preserve">Me encanta investigar temas que no conozco </t>
  </si>
  <si>
    <t>Soy muy cuidadoso con las finanzas</t>
  </si>
  <si>
    <t>Jamás me salgo de mi presupuesto establecido</t>
  </si>
  <si>
    <t>Siempre gasto mi dinero en lujos</t>
  </si>
  <si>
    <t>Suelo gastar en cosas que no necesito</t>
  </si>
  <si>
    <t>Si tengo una meta la cumplo al 100%</t>
  </si>
  <si>
    <t>Si me propongo algo no lo dejo hasta cumplirlo pare lo que pase</t>
  </si>
  <si>
    <t>Me gusta apoyar las causas sociales con ideas nuevas </t>
  </si>
  <si>
    <t>Me gusta atender a las personas de manera cercana </t>
  </si>
  <si>
    <t>Siempre busco transmitir mis valores a los demás </t>
  </si>
  <si>
    <t>En porcentaje</t>
  </si>
  <si>
    <t>NSE: NIVEL SOCIOECONÓMICO</t>
  </si>
  <si>
    <t>F1: CONDICIÓN LABORAL</t>
  </si>
  <si>
    <t>IN1: CANTIDAD A INVERTIR</t>
  </si>
  <si>
    <r>
      <t xml:space="preserve">PE4: MOTIVOS PARA EMPRENDER               </t>
    </r>
    <r>
      <rPr>
        <b/>
        <sz val="11"/>
        <color rgb="FFC00000"/>
        <rFont val="Calibri"/>
        <family val="2"/>
        <scheme val="minor"/>
      </rPr>
      <t>OJO: Aquí hay dos respuestas: Si y No. Sólo se pondrá la de 'Si' puesto que la otra parte sería el complemento. (Por eso no se hizo el total general).</t>
    </r>
  </si>
  <si>
    <r>
      <t xml:space="preserve">PE5: MIEDOS PARA EMPRENDER               </t>
    </r>
    <r>
      <rPr>
        <b/>
        <sz val="11"/>
        <color rgb="FFC00000"/>
        <rFont val="Calibri"/>
        <family val="2"/>
        <scheme val="minor"/>
      </rPr>
      <t>OJO: Aquí hay dos respuestas: Si y No. Sólo se pondrá la de 'Si' puesto que la otra parte sería el complemento. (Por eso no se hizo el total general).</t>
    </r>
  </si>
  <si>
    <r>
      <t xml:space="preserve">PE6: HÁBITOS FINANCIEROS             </t>
    </r>
    <r>
      <rPr>
        <b/>
        <sz val="11"/>
        <color rgb="FFC00000"/>
        <rFont val="Calibri"/>
        <family val="2"/>
        <scheme val="minor"/>
      </rPr>
      <t>OJO: Aquí hay dos respuestas: 'De acuerdo' y 'En desacuerdo'. Sólo se pondrá la de 'De acuerdo' puesto que la otra parte sería el complemento. (Por eso no se hizo el total general).</t>
    </r>
  </si>
  <si>
    <r>
      <t xml:space="preserve">PE7: METAS DE EMPRENDEDOR        </t>
    </r>
    <r>
      <rPr>
        <b/>
        <sz val="11"/>
        <color rgb="FFC00000"/>
        <rFont val="Calibri"/>
        <family val="2"/>
        <scheme val="minor"/>
      </rPr>
      <t>OJO: Aquí hay dos respuestas: Si y No. Sólo se pondrá la de 'Si' puesto que la otra parte sería el complemento. (Por eso no se hizo el total general).</t>
    </r>
  </si>
  <si>
    <r>
      <t xml:space="preserve">PE11: HÁBITOS Y COSTUMBRES PERSONALES            </t>
    </r>
    <r>
      <rPr>
        <b/>
        <sz val="11"/>
        <color rgb="FFC00000"/>
        <rFont val="Calibri"/>
        <family val="2"/>
        <scheme val="minor"/>
      </rPr>
      <t>OJO: Aquí hay dos respuestas: 'De acuerdo' y 'En desacuerdo'. Sólo se pondrá la de 'De acuerdo' puesto que la otra parte sería el complemento. (Por eso no se hizo el total general).</t>
    </r>
  </si>
  <si>
    <r>
      <t xml:space="preserve">PE10: PROMOCIÓN DE NEGOCIO                     </t>
    </r>
    <r>
      <rPr>
        <b/>
        <sz val="11"/>
        <color rgb="FFC00000"/>
        <rFont val="Calibri"/>
        <family val="2"/>
        <scheme val="minor"/>
      </rPr>
      <t>OJO: Aquí hay dos respuestas: Si y No. Sólo se pondrá la de 'Si' puesto que la otra parte sería el complemento. (Por eso no se hizo el total general).</t>
    </r>
  </si>
  <si>
    <r>
      <t xml:space="preserve">PE9: ALGO QUE LES GUSTARÍA APRENDER </t>
    </r>
    <r>
      <rPr>
        <b/>
        <sz val="11"/>
        <color rgb="FFC00000"/>
        <rFont val="Calibri"/>
        <family val="2"/>
        <scheme val="minor"/>
      </rPr>
      <t xml:space="preserve">OJO: Se ordenan del 1 al 10 por eso se repiten. Ejemplo: La variable 'Aprender a armar un plan de negocios' cayó en el 2 equis veces y así sucesivamente.              </t>
    </r>
    <r>
      <rPr>
        <b/>
        <sz val="11"/>
        <color theme="3"/>
        <rFont val="Calibri"/>
        <family val="2"/>
        <scheme val="minor"/>
      </rPr>
      <t>(El cuestinario lo explica a grandes rasgos).</t>
    </r>
  </si>
  <si>
    <t>PE4</t>
  </si>
  <si>
    <r>
      <rPr>
        <b/>
        <sz val="11"/>
        <color rgb="FF000000"/>
        <rFont val="Calibri"/>
        <family val="2"/>
        <scheme val="minor"/>
      </rPr>
      <t>Género:</t>
    </r>
    <r>
      <rPr>
        <sz val="11"/>
        <color rgb="FF000000"/>
        <rFont val="Calibri"/>
        <family val="2"/>
        <scheme val="minor"/>
      </rPr>
      <t xml:space="preserve"> Hombre o Mujer</t>
    </r>
  </si>
  <si>
    <r>
      <rPr>
        <b/>
        <sz val="11"/>
        <color rgb="FF000000"/>
        <rFont val="Calibri"/>
        <family val="2"/>
        <scheme val="minor"/>
      </rPr>
      <t>Grupos de edad:</t>
    </r>
    <r>
      <rPr>
        <sz val="11"/>
        <color rgb="FF000000"/>
        <rFont val="Calibri"/>
        <family val="2"/>
        <scheme val="minor"/>
      </rPr>
      <t xml:space="preserve"> 18-30, 31-40,41-49 y 50+</t>
    </r>
  </si>
  <si>
    <r>
      <rPr>
        <b/>
        <sz val="11"/>
        <color rgb="FF000000"/>
        <rFont val="Calibri"/>
        <family val="2"/>
        <scheme val="minor"/>
      </rPr>
      <t>ZONA:</t>
    </r>
    <r>
      <rPr>
        <sz val="11"/>
        <color rgb="FF000000"/>
        <rFont val="Calibri"/>
        <family val="2"/>
        <scheme val="minor"/>
      </rPr>
      <t xml:space="preserve"> Pacífico, Norte, Bajío, Centro, D.F. y Sureste.</t>
    </r>
  </si>
  <si>
    <r>
      <rPr>
        <b/>
        <sz val="11"/>
        <color rgb="FF000000"/>
        <rFont val="Calibri"/>
        <family val="2"/>
        <scheme val="minor"/>
      </rPr>
      <t xml:space="preserve">Condición laboral: </t>
    </r>
    <r>
      <rPr>
        <sz val="11"/>
        <color rgb="FF000000"/>
        <rFont val="Calibri"/>
        <family val="2"/>
        <scheme val="minor"/>
      </rPr>
      <t xml:space="preserve">¿Cómo dirías que es tu condición laboral actualmente? </t>
    </r>
  </si>
  <si>
    <r>
      <rPr>
        <b/>
        <sz val="11"/>
        <color rgb="FF000000"/>
        <rFont val="Calibri"/>
        <family val="2"/>
        <scheme val="minor"/>
      </rPr>
      <t>Motivos para emprender:</t>
    </r>
    <r>
      <rPr>
        <sz val="11"/>
        <color rgb="FF000000"/>
        <rFont val="Calibri"/>
        <family val="2"/>
        <scheme val="minor"/>
      </rPr>
      <t xml:space="preserve"> ¿Cuáles serían los tres motivos por los cuales emprendiste o emprenderías un negocio? </t>
    </r>
  </si>
  <si>
    <t>PE7</t>
  </si>
  <si>
    <r>
      <rPr>
        <b/>
        <sz val="11"/>
        <color rgb="FF000000"/>
        <rFont val="Calibri"/>
        <family val="2"/>
        <scheme val="minor"/>
      </rPr>
      <t>Cantidad a invertir:</t>
    </r>
    <r>
      <rPr>
        <sz val="11"/>
        <color rgb="FF000000"/>
        <rFont val="Calibri"/>
        <family val="2"/>
        <scheme val="minor"/>
      </rPr>
      <t xml:space="preserve"> ¿Cuánto invertirían?</t>
    </r>
  </si>
  <si>
    <r>
      <rPr>
        <b/>
        <sz val="11"/>
        <color rgb="FF000000"/>
        <rFont val="Calibri"/>
        <family val="2"/>
        <scheme val="minor"/>
      </rPr>
      <t xml:space="preserve">Hábitos fiancieros: </t>
    </r>
    <r>
      <rPr>
        <sz val="11"/>
        <color rgb="FF000000"/>
        <rFont val="Calibri"/>
        <family val="2"/>
        <scheme val="minor"/>
      </rPr>
      <t>Agrupada en 'De acuerdo' y 'En desacuerdo'.</t>
    </r>
  </si>
  <si>
    <t>Metas de emprendedor</t>
  </si>
  <si>
    <t>PE9</t>
  </si>
  <si>
    <r>
      <rPr>
        <b/>
        <sz val="11"/>
        <color rgb="FF000000"/>
        <rFont val="Calibri"/>
        <family val="2"/>
        <scheme val="minor"/>
      </rPr>
      <t>Promoción de negocio:</t>
    </r>
    <r>
      <rPr>
        <sz val="11"/>
        <color rgb="FF000000"/>
        <rFont val="Calibri"/>
        <family val="2"/>
        <scheme val="minor"/>
      </rPr>
      <t xml:space="preserve"> ¿En qué lugares promocionarías tu negocio?</t>
    </r>
  </si>
  <si>
    <r>
      <t xml:space="preserve">Hábitos y costumbres personales: </t>
    </r>
    <r>
      <rPr>
        <sz val="11"/>
        <color rgb="FF000000"/>
        <rFont val="Calibri"/>
        <family val="2"/>
        <scheme val="minor"/>
      </rPr>
      <t>Agrupada en 'De acuerdo' y 'En desacuerdo'.</t>
    </r>
  </si>
  <si>
    <t>Modificación</t>
  </si>
  <si>
    <t>Ninguna</t>
  </si>
  <si>
    <t>Se agruparon las edades</t>
  </si>
  <si>
    <r>
      <rPr>
        <b/>
        <sz val="11"/>
        <color rgb="FF000000"/>
        <rFont val="Calibri"/>
        <family val="2"/>
        <scheme val="minor"/>
      </rPr>
      <t>Niveles:</t>
    </r>
    <r>
      <rPr>
        <sz val="11"/>
        <color rgb="FF000000"/>
        <rFont val="Calibri"/>
        <family val="2"/>
        <scheme val="minor"/>
      </rPr>
      <t xml:space="preserve"> ABC+,C Y C-D+</t>
    </r>
  </si>
  <si>
    <t>Se dejaron sólo 3 niveles</t>
  </si>
  <si>
    <t>Se quitó 'otros=98'</t>
  </si>
  <si>
    <t>Se quitó 'otros=98' y 'ninguno'</t>
  </si>
  <si>
    <t>Se agrupó en sólo dos.</t>
  </si>
  <si>
    <t>Variables eliminadas: EDO (las proporciones eran pésimas), PE2, PE3 y PE8.</t>
  </si>
  <si>
    <t>Algo que les gustaría aprender (aprender antes de emprender un negocio).</t>
  </si>
  <si>
    <t>Sexo</t>
  </si>
  <si>
    <t>Edad</t>
  </si>
  <si>
    <t>keys</t>
  </si>
  <si>
    <t>0,1</t>
  </si>
  <si>
    <t>1,2,3,4</t>
  </si>
  <si>
    <t>1,2,3</t>
  </si>
  <si>
    <t>1,2,3,4,5,6</t>
  </si>
  <si>
    <t>1-20</t>
  </si>
  <si>
    <t>1-9</t>
  </si>
  <si>
    <t>1-18</t>
  </si>
  <si>
    <t>1-19</t>
  </si>
  <si>
    <t>1-17</t>
  </si>
  <si>
    <t>1-10</t>
  </si>
  <si>
    <t>1-21</t>
  </si>
  <si>
    <t>Zona</t>
  </si>
  <si>
    <t>Hombres</t>
  </si>
  <si>
    <t>Mujeres</t>
  </si>
  <si>
    <t>Hombres y Mujeres</t>
  </si>
  <si>
    <t>Adultos jóvenes (18 a 30 años)</t>
  </si>
  <si>
    <t>Adultos maduros (31 a 49 años)</t>
  </si>
  <si>
    <t>Adultos mayores (50+)</t>
  </si>
  <si>
    <t>Nivel socieconómico bajo</t>
  </si>
  <si>
    <t xml:space="preserve">Nivel socioeconómico medio bajo </t>
  </si>
  <si>
    <t>Nivel socieconómico alto</t>
  </si>
  <si>
    <t>Nivel socieconómico medio</t>
  </si>
  <si>
    <t>Son empleados, freelancers o amas de casa que quieren emprender un negocio propio o empresa.</t>
  </si>
  <si>
    <t>Son principalmente del área nielsen I (Pacífico)</t>
  </si>
  <si>
    <t>Son principalmente del área nielsen VI (Sureste)</t>
  </si>
  <si>
    <t>Son principalmente del área nielsen I y II (Pacifico y Bajío)</t>
  </si>
  <si>
    <t>Son principalmente del área nielsen IV y V (Centro y D.F.)</t>
  </si>
  <si>
    <t>Son empleados que tienen un negocio propio o empresa y/o amas de casa que tienen una idea para emprender.</t>
  </si>
  <si>
    <t>Adultas mayores (50+)</t>
  </si>
  <si>
    <t xml:space="preserve">Les surgió la oportunidad y la aprovecharon,  lo que quieren vender les motiva y quieren demostrarle a los demás que ellos pueden hacerlo. </t>
  </si>
  <si>
    <t>Su objetivo es solucionar algún problema del mercado que identificaron, quieren apoyar iniciativas sociales porque les gusta tener contacto cercano con la gente.</t>
  </si>
  <si>
    <t>Desean dejar de tener jefe, quieren enseñar lo que han aprendido a otras personas y les gustas superar los retos que conlleva tener un negocio o empresa.</t>
  </si>
  <si>
    <t>La cantidad que podrían invertir es alta, el intervalo es de $81k a $300k.</t>
  </si>
  <si>
    <t>Su mayor miedo sería perder la estabilidad económica que tiene y que su familia no apoye el emprendimiento.</t>
  </si>
  <si>
    <t>Su principal miedo es que su emprendimiento tenga una mala administración y que sus familiares y amigos los vean como perdedores. También, sienten que no tienen la actitud de un buen vendedor</t>
  </si>
  <si>
    <t>Por lo general, gastan más de lo que ganan, la mayoría de su dinero se va en lujos.</t>
  </si>
  <si>
    <t>No suelen darle prioridad a sus gastos principales, no gastan la mayoría de su dinero en lujos y no suelen gasta más de lo que ganan.</t>
  </si>
  <si>
    <t>No usan su dinero sólo en necesitades básicas.  Usan sus tarjetas de crédito correctamente, son muy organizadas y llevan un control de sus finanzas.</t>
  </si>
  <si>
    <t>Su principal meta sería poder llevar a su familia de vacaciones.</t>
  </si>
  <si>
    <t>Les gustaría generar empleos invertir de manera pasiva e impactar positivamente a las personas.</t>
  </si>
  <si>
    <t>Su principal meta sería tener una oficina o despacho propio, apoyar alguna causa social y llevar de vacaciones a su familia.</t>
  </si>
  <si>
    <t>Promocionarían su negocio en mantas.</t>
  </si>
  <si>
    <t>Promocionarían su negocio en el periódico o demostradoras.</t>
  </si>
  <si>
    <t>Promocionarían su negocio principalmente en marketing de guerilla y televisión.</t>
  </si>
  <si>
    <t>Siempre piensan en cómo generar más dinero y suelen gastar en cosas que no necesitan.</t>
  </si>
  <si>
    <t>Promocionarían su negocio en periódicos, y/o google maps.</t>
  </si>
  <si>
    <r>
      <rPr>
        <b/>
        <sz val="11"/>
        <color rgb="FF000000"/>
        <rFont val="Calibri"/>
        <family val="2"/>
        <scheme val="minor"/>
      </rPr>
      <t>Motivos</t>
    </r>
    <r>
      <rPr>
        <sz val="11"/>
        <color rgb="FF000000"/>
        <rFont val="Calibri"/>
        <family val="2"/>
        <scheme val="minor"/>
      </rPr>
      <t xml:space="preserve"> para emprender</t>
    </r>
  </si>
  <si>
    <r>
      <rPr>
        <b/>
        <sz val="11"/>
        <color rgb="FF000000"/>
        <rFont val="Calibri"/>
        <family val="2"/>
        <scheme val="minor"/>
      </rPr>
      <t>Miedos</t>
    </r>
    <r>
      <rPr>
        <sz val="11"/>
        <color rgb="FF000000"/>
        <rFont val="Calibri"/>
        <family val="2"/>
        <scheme val="minor"/>
      </rPr>
      <t xml:space="preserve"> para emprender</t>
    </r>
  </si>
  <si>
    <r>
      <rPr>
        <b/>
        <sz val="11"/>
        <color rgb="FF000000"/>
        <rFont val="Calibri"/>
        <family val="2"/>
        <scheme val="minor"/>
      </rPr>
      <t>Cantidad</t>
    </r>
    <r>
      <rPr>
        <sz val="11"/>
        <color rgb="FF000000"/>
        <rFont val="Calibri"/>
        <family val="2"/>
        <scheme val="minor"/>
      </rPr>
      <t xml:space="preserve"> a invertir</t>
    </r>
  </si>
  <si>
    <r>
      <rPr>
        <b/>
        <sz val="11"/>
        <color rgb="FF000000"/>
        <rFont val="Calibri"/>
        <family val="2"/>
        <scheme val="minor"/>
      </rPr>
      <t>Metas</t>
    </r>
    <r>
      <rPr>
        <sz val="11"/>
        <color rgb="FF000000"/>
        <rFont val="Calibri"/>
        <family val="2"/>
        <scheme val="minor"/>
      </rPr>
      <t xml:space="preserve"> de emprendedor</t>
    </r>
  </si>
  <si>
    <r>
      <t xml:space="preserve">Hábitos y costumbres </t>
    </r>
    <r>
      <rPr>
        <b/>
        <sz val="11"/>
        <color rgb="FF000000"/>
        <rFont val="Calibri"/>
        <family val="2"/>
        <scheme val="minor"/>
      </rPr>
      <t>personales</t>
    </r>
  </si>
  <si>
    <r>
      <t xml:space="preserve">Hábitos </t>
    </r>
    <r>
      <rPr>
        <b/>
        <sz val="11"/>
        <color rgb="FF000000"/>
        <rFont val="Calibri"/>
        <family val="2"/>
        <scheme val="minor"/>
      </rPr>
      <t>financieros</t>
    </r>
  </si>
  <si>
    <r>
      <rPr>
        <b/>
        <sz val="11"/>
        <color rgb="FF000000"/>
        <rFont val="Calibri"/>
        <family val="2"/>
        <scheme val="minor"/>
      </rPr>
      <t>Promoción</t>
    </r>
    <r>
      <rPr>
        <sz val="11"/>
        <color rgb="FF000000"/>
        <rFont val="Calibri"/>
        <family val="2"/>
        <scheme val="minor"/>
      </rPr>
      <t xml:space="preserve"> de negocio</t>
    </r>
  </si>
  <si>
    <r>
      <rPr>
        <b/>
        <sz val="11"/>
        <color rgb="FF000000"/>
        <rFont val="Calibri"/>
        <family val="2"/>
        <scheme val="minor"/>
      </rPr>
      <t>Condición</t>
    </r>
    <r>
      <rPr>
        <sz val="11"/>
        <color rgb="FF000000"/>
        <rFont val="Calibri"/>
        <family val="2"/>
        <scheme val="minor"/>
      </rPr>
      <t xml:space="preserve"> laboral</t>
    </r>
  </si>
  <si>
    <t>Son mujeres que atienden su propio negocio o empresa y quieren emprender.</t>
  </si>
  <si>
    <t>1. Emprendedores principiantes</t>
  </si>
  <si>
    <t>2. Adultos maduros emprendedores</t>
  </si>
  <si>
    <t>3. Mujeres triunfadoras</t>
  </si>
  <si>
    <t>4. Emprendedores soñadores</t>
  </si>
  <si>
    <t>95  -&gt; (23%)</t>
  </si>
  <si>
    <t>117 -&gt; (28%)</t>
  </si>
  <si>
    <t>111 -&gt; (27%)</t>
  </si>
  <si>
    <t>92 -&gt; (22%)</t>
  </si>
  <si>
    <t>Son empleados que tienen un negocio propio o empresa  y/o amas de casa que tienen una idea para emprender.</t>
  </si>
  <si>
    <t>Nivel Socieconómico</t>
  </si>
  <si>
    <t>Quieren obtener un ingreso extra y/o lo que quieren vender los motiva y/o quieren adquirir nuevas habilidades.</t>
  </si>
  <si>
    <t>La cantidad que podrían invertir es menor a $20,000.</t>
  </si>
  <si>
    <t>La cantidad que podrían invertir es menor a $80,000.</t>
  </si>
  <si>
    <t>Su principal meta es que su familia participe en el negocio familiar.</t>
  </si>
  <si>
    <t>Suelen gastar en cosas que no necesitan.</t>
  </si>
  <si>
    <t>Siempre apoyan a los que más lo necesitan y son muy cuidadosas son sus finanzas.</t>
  </si>
  <si>
    <t>Siempre piensan primero en la familia y en cómo generar más dinero.</t>
  </si>
  <si>
    <t>HOJA COLOR ROJO -&gt;  INFORMACIÓN RELEVANTE</t>
  </si>
  <si>
    <t>Su principal miedo es que su empresa o negocio fracase debido a una mala administración y que sus amigos y familiares los vean cómo perdedores.</t>
  </si>
  <si>
    <t>Su principal miedo es que su  negocio o empresa quiebre debido a la falta de habilidades y conocimiento.</t>
  </si>
  <si>
    <t>Por lo general, gastan más de lo que ganan.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</si>
</sst>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2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theme="0"/>
      <name val="Calibri"/>
      <family val="2"/>
    </font>
    <font>
      <u/>
      <sz val="11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8" fillId="0" borderId="0"/>
    <xf numFmtId="0" fontId="7" fillId="0" borderId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0" fillId="0" borderId="0"/>
    <xf numFmtId="0" fontId="5" fillId="0" borderId="0"/>
    <xf numFmtId="0" fontId="3" fillId="0" borderId="0"/>
  </cellStyleXfs>
  <cellXfs count="143">
    <xf numFmtId="0" fontId="0" fillId="0" borderId="0" xfId="0"/>
    <xf numFmtId="0" fontId="0" fillId="0" borderId="2" xfId="0" applyBorder="1"/>
    <xf numFmtId="0" fontId="0" fillId="0" borderId="4" xfId="0" applyBorder="1"/>
    <xf numFmtId="0" fontId="9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6" fillId="0" borderId="0" xfId="4"/>
    <xf numFmtId="9" fontId="0" fillId="0" borderId="0" xfId="3" applyFont="1"/>
    <xf numFmtId="9" fontId="9" fillId="8" borderId="8" xfId="3" applyFont="1" applyFill="1" applyBorder="1" applyAlignment="1">
      <alignment horizontal="center"/>
    </xf>
    <xf numFmtId="0" fontId="12" fillId="0" borderId="0" xfId="4" applyFont="1" applyAlignment="1">
      <alignment vertical="center" wrapText="1"/>
    </xf>
    <xf numFmtId="164" fontId="0" fillId="0" borderId="0" xfId="6" applyNumberFormat="1" applyFont="1" applyAlignment="1">
      <alignment horizontal="center"/>
    </xf>
    <xf numFmtId="164" fontId="13" fillId="0" borderId="0" xfId="4" applyNumberFormat="1" applyFont="1" applyAlignment="1">
      <alignment horizontal="center"/>
    </xf>
    <xf numFmtId="0" fontId="13" fillId="0" borderId="0" xfId="4" applyFont="1" applyAlignment="1">
      <alignment horizontal="center"/>
    </xf>
    <xf numFmtId="9" fontId="13" fillId="0" borderId="0" xfId="5" applyFont="1" applyAlignment="1">
      <alignment horizontal="center"/>
    </xf>
    <xf numFmtId="0" fontId="6" fillId="0" borderId="0" xfId="4" applyAlignment="1">
      <alignment wrapText="1"/>
    </xf>
    <xf numFmtId="0" fontId="6" fillId="0" borderId="7" xfId="4" applyBorder="1" applyAlignment="1">
      <alignment wrapText="1"/>
    </xf>
    <xf numFmtId="2" fontId="6" fillId="0" borderId="7" xfId="4" applyNumberFormat="1" applyBorder="1"/>
    <xf numFmtId="2" fontId="6" fillId="0" borderId="0" xfId="4" applyNumberFormat="1"/>
    <xf numFmtId="0" fontId="6" fillId="0" borderId="7" xfId="4" applyBorder="1" applyAlignment="1">
      <alignment horizontal="left"/>
    </xf>
    <xf numFmtId="0" fontId="6" fillId="0" borderId="0" xfId="4" applyAlignment="1">
      <alignment horizontal="left"/>
    </xf>
    <xf numFmtId="165" fontId="6" fillId="0" borderId="0" xfId="4" applyNumberFormat="1"/>
    <xf numFmtId="0" fontId="6" fillId="0" borderId="7" xfId="4" applyBorder="1"/>
    <xf numFmtId="0" fontId="10" fillId="0" borderId="0" xfId="7"/>
    <xf numFmtId="1" fontId="0" fillId="0" borderId="7" xfId="6" applyNumberFormat="1" applyFont="1" applyBorder="1" applyAlignment="1">
      <alignment horizontal="center"/>
    </xf>
    <xf numFmtId="1" fontId="0" fillId="0" borderId="0" xfId="6" applyNumberFormat="1" applyFont="1" applyBorder="1" applyAlignment="1">
      <alignment horizontal="center"/>
    </xf>
    <xf numFmtId="0" fontId="5" fillId="0" borderId="0" xfId="8"/>
    <xf numFmtId="0" fontId="11" fillId="0" borderId="0" xfId="4" applyFont="1" applyAlignment="1">
      <alignment horizontal="center" vertical="center" wrapText="1"/>
    </xf>
    <xf numFmtId="0" fontId="6" fillId="0" borderId="7" xfId="4" applyBorder="1" applyAlignment="1">
      <alignment horizontal="center"/>
    </xf>
    <xf numFmtId="0" fontId="6" fillId="0" borderId="0" xfId="4" applyAlignment="1">
      <alignment horizontal="center"/>
    </xf>
    <xf numFmtId="1" fontId="6" fillId="0" borderId="0" xfId="4" applyNumberFormat="1" applyAlignment="1">
      <alignment horizontal="center"/>
    </xf>
    <xf numFmtId="9" fontId="6" fillId="0" borderId="0" xfId="5" applyFont="1" applyBorder="1" applyAlignment="1">
      <alignment horizontal="center"/>
    </xf>
    <xf numFmtId="9" fontId="6" fillId="0" borderId="7" xfId="4" applyNumberFormat="1" applyBorder="1" applyAlignment="1">
      <alignment horizontal="center"/>
    </xf>
    <xf numFmtId="9" fontId="6" fillId="0" borderId="7" xfId="5" applyFont="1" applyBorder="1" applyAlignment="1">
      <alignment horizontal="center"/>
    </xf>
    <xf numFmtId="165" fontId="6" fillId="0" borderId="7" xfId="4" applyNumberFormat="1" applyBorder="1" applyAlignment="1">
      <alignment horizontal="center"/>
    </xf>
    <xf numFmtId="165" fontId="6" fillId="0" borderId="0" xfId="4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7" xfId="3" applyFont="1" applyBorder="1" applyAlignment="1">
      <alignment horizontal="center"/>
    </xf>
    <xf numFmtId="9" fontId="10" fillId="0" borderId="7" xfId="3" applyBorder="1" applyAlignment="1">
      <alignment horizontal="center"/>
    </xf>
    <xf numFmtId="0" fontId="12" fillId="0" borderId="0" xfId="4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4" applyFont="1" applyAlignment="1">
      <alignment horizontal="center"/>
    </xf>
    <xf numFmtId="9" fontId="6" fillId="0" borderId="0" xfId="4" applyNumberFormat="1" applyAlignment="1">
      <alignment horizontal="center"/>
    </xf>
    <xf numFmtId="9" fontId="0" fillId="0" borderId="0" xfId="3" applyFont="1" applyBorder="1" applyAlignment="1">
      <alignment horizontal="center"/>
    </xf>
    <xf numFmtId="0" fontId="11" fillId="0" borderId="11" xfId="4" applyFont="1" applyBorder="1" applyAlignment="1">
      <alignment horizontal="center" vertical="center" wrapText="1"/>
    </xf>
    <xf numFmtId="0" fontId="6" fillId="6" borderId="7" xfId="4" applyFill="1" applyBorder="1" applyAlignment="1">
      <alignment horizontal="left"/>
    </xf>
    <xf numFmtId="165" fontId="6" fillId="6" borderId="7" xfId="4" applyNumberFormat="1" applyFill="1" applyBorder="1" applyAlignment="1">
      <alignment horizontal="center"/>
    </xf>
    <xf numFmtId="9" fontId="6" fillId="9" borderId="7" xfId="5" applyFont="1" applyFill="1" applyBorder="1" applyAlignment="1">
      <alignment horizontal="center"/>
    </xf>
    <xf numFmtId="9" fontId="0" fillId="0" borderId="7" xfId="3" applyFont="1" applyFill="1" applyBorder="1" applyAlignment="1">
      <alignment horizontal="center"/>
    </xf>
    <xf numFmtId="0" fontId="11" fillId="0" borderId="0" xfId="0" applyFont="1" applyAlignment="1">
      <alignment vertical="center" wrapText="1"/>
    </xf>
    <xf numFmtId="0" fontId="0" fillId="0" borderId="7" xfId="0" applyBorder="1" applyAlignment="1">
      <alignment wrapText="1"/>
    </xf>
    <xf numFmtId="0" fontId="10" fillId="0" borderId="7" xfId="7" applyBorder="1"/>
    <xf numFmtId="0" fontId="0" fillId="0" borderId="0" xfId="0" applyAlignment="1">
      <alignment wrapText="1"/>
    </xf>
    <xf numFmtId="9" fontId="0" fillId="0" borderId="0" xfId="3" applyFont="1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9" fillId="4" borderId="13" xfId="4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1" fontId="0" fillId="7" borderId="14" xfId="5" applyNumberFormat="1" applyFont="1" applyFill="1" applyBorder="1" applyAlignment="1">
      <alignment horizontal="center"/>
    </xf>
    <xf numFmtId="1" fontId="0" fillId="10" borderId="15" xfId="5" applyNumberFormat="1" applyFont="1" applyFill="1" applyBorder="1" applyAlignment="1">
      <alignment horizontal="center"/>
    </xf>
    <xf numFmtId="1" fontId="0" fillId="11" borderId="15" xfId="5" applyNumberFormat="1" applyFont="1" applyFill="1" applyBorder="1" applyAlignment="1">
      <alignment horizontal="center"/>
    </xf>
    <xf numFmtId="1" fontId="0" fillId="12" borderId="16" xfId="5" applyNumberFormat="1" applyFont="1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6" fillId="9" borderId="9" xfId="4" applyFill="1" applyBorder="1" applyAlignment="1">
      <alignment horizontal="center" vertical="center"/>
    </xf>
    <xf numFmtId="0" fontId="6" fillId="9" borderId="10" xfId="4" applyFill="1" applyBorder="1" applyAlignment="1">
      <alignment horizontal="center" vertical="center"/>
    </xf>
    <xf numFmtId="9" fontId="0" fillId="0" borderId="12" xfId="3" applyFont="1" applyFill="1" applyBorder="1" applyAlignment="1">
      <alignment horizontal="center"/>
    </xf>
    <xf numFmtId="0" fontId="6" fillId="0" borderId="10" xfId="4" applyBorder="1"/>
    <xf numFmtId="0" fontId="6" fillId="0" borderId="8" xfId="4" applyBorder="1"/>
    <xf numFmtId="0" fontId="6" fillId="0" borderId="9" xfId="4" applyBorder="1"/>
    <xf numFmtId="0" fontId="16" fillId="0" borderId="0" xfId="8" applyFont="1" applyAlignment="1">
      <alignment horizontal="center"/>
    </xf>
    <xf numFmtId="0" fontId="19" fillId="0" borderId="0" xfId="4" applyFont="1" applyAlignment="1">
      <alignment horizontal="center" vertical="top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20" fillId="0" borderId="0" xfId="0" applyFont="1"/>
    <xf numFmtId="16" fontId="0" fillId="0" borderId="2" xfId="0" quotePrefix="1" applyNumberFormat="1" applyBorder="1"/>
    <xf numFmtId="0" fontId="0" fillId="0" borderId="2" xfId="0" quotePrefix="1" applyBorder="1"/>
    <xf numFmtId="16" fontId="0" fillId="0" borderId="2" xfId="0" quotePrefix="1" applyNumberFormat="1" applyBorder="1" applyAlignment="1">
      <alignment vertical="center"/>
    </xf>
    <xf numFmtId="0" fontId="0" fillId="0" borderId="0" xfId="0" applyAlignment="1">
      <alignment horizontal="center"/>
    </xf>
    <xf numFmtId="1" fontId="14" fillId="12" borderId="16" xfId="5" applyNumberFormat="1" applyFont="1" applyFill="1" applyBorder="1" applyAlignment="1">
      <alignment horizontal="center"/>
    </xf>
    <xf numFmtId="9" fontId="6" fillId="0" borderId="0" xfId="4" applyNumberFormat="1"/>
    <xf numFmtId="9" fontId="0" fillId="0" borderId="0" xfId="0" applyNumberFormat="1"/>
    <xf numFmtId="0" fontId="0" fillId="16" borderId="0" xfId="0" applyFill="1" applyAlignment="1">
      <alignment horizontal="center"/>
    </xf>
    <xf numFmtId="1" fontId="14" fillId="7" borderId="13" xfId="5" applyNumberFormat="1" applyFont="1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6" borderId="4" xfId="0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4" fillId="0" borderId="4" xfId="4" applyFont="1" applyBorder="1" applyAlignment="1">
      <alignment horizontal="center" vertical="top" wrapText="1"/>
    </xf>
    <xf numFmtId="0" fontId="0" fillId="16" borderId="4" xfId="0" applyFill="1" applyBorder="1" applyAlignment="1">
      <alignment horizont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top" wrapText="1"/>
    </xf>
    <xf numFmtId="0" fontId="4" fillId="0" borderId="5" xfId="4" applyFont="1" applyBorder="1" applyAlignment="1">
      <alignment horizontal="center" vertical="top" wrapText="1"/>
    </xf>
    <xf numFmtId="0" fontId="0" fillId="16" borderId="2" xfId="0" applyFill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4" fillId="0" borderId="2" xfId="4" applyFont="1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" fontId="14" fillId="10" borderId="13" xfId="5" applyNumberFormat="1" applyFont="1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" fontId="14" fillId="11" borderId="13" xfId="5" applyNumberFormat="1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0" borderId="5" xfId="0" applyBorder="1" applyAlignment="1">
      <alignment horizontal="center" vertical="top" wrapText="1"/>
    </xf>
    <xf numFmtId="0" fontId="4" fillId="16" borderId="4" xfId="4" applyFont="1" applyFill="1" applyBorder="1" applyAlignment="1">
      <alignment horizontal="center" vertical="top" wrapText="1"/>
    </xf>
    <xf numFmtId="0" fontId="0" fillId="16" borderId="4" xfId="0" applyFill="1" applyBorder="1" applyAlignment="1">
      <alignment horizontal="center" vertical="top" wrapText="1"/>
    </xf>
    <xf numFmtId="0" fontId="0" fillId="16" borderId="13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16" borderId="4" xfId="0" applyFill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4" fillId="16" borderId="2" xfId="4" applyFont="1" applyFill="1" applyBorder="1" applyAlignment="1">
      <alignment horizontal="center" vertical="center" wrapText="1"/>
    </xf>
    <xf numFmtId="0" fontId="4" fillId="16" borderId="4" xfId="4" applyFont="1" applyFill="1" applyBorder="1" applyAlignment="1">
      <alignment horizontal="center" vertical="center" wrapText="1"/>
    </xf>
    <xf numFmtId="0" fontId="4" fillId="0" borderId="3" xfId="4" applyFont="1" applyBorder="1" applyAlignment="1">
      <alignment horizontal="center" vertical="center" wrapText="1"/>
    </xf>
    <xf numFmtId="0" fontId="21" fillId="0" borderId="0" xfId="0" applyFont="1"/>
    <xf numFmtId="0" fontId="3" fillId="17" borderId="0" xfId="9" applyFill="1"/>
    <xf numFmtId="0" fontId="3" fillId="0" borderId="0" xfId="9"/>
    <xf numFmtId="0" fontId="2" fillId="16" borderId="4" xfId="4" applyFont="1" applyFill="1" applyBorder="1" applyAlignment="1">
      <alignment horizontal="center" vertical="center" wrapText="1"/>
    </xf>
    <xf numFmtId="0" fontId="0" fillId="6" borderId="4" xfId="0" applyFill="1" applyBorder="1"/>
    <xf numFmtId="0" fontId="0" fillId="6" borderId="2" xfId="0" applyFill="1" applyBorder="1"/>
    <xf numFmtId="17" fontId="0" fillId="6" borderId="2" xfId="0" quotePrefix="1" applyNumberFormat="1" applyFill="1" applyBorder="1"/>
    <xf numFmtId="0" fontId="0" fillId="6" borderId="2" xfId="0" quotePrefix="1" applyFill="1" applyBorder="1"/>
    <xf numFmtId="0" fontId="0" fillId="6" borderId="5" xfId="0" applyFill="1" applyBorder="1"/>
    <xf numFmtId="0" fontId="14" fillId="6" borderId="3" xfId="0" applyFont="1" applyFill="1" applyBorder="1"/>
    <xf numFmtId="0" fontId="0" fillId="6" borderId="3" xfId="0" quotePrefix="1" applyFill="1" applyBorder="1"/>
    <xf numFmtId="0" fontId="0" fillId="16" borderId="2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2" fillId="16" borderId="4" xfId="4" applyFont="1" applyFill="1" applyBorder="1" applyAlignment="1">
      <alignment horizontal="center" vertical="top" wrapText="1"/>
    </xf>
    <xf numFmtId="0" fontId="1" fillId="16" borderId="4" xfId="4" applyFont="1" applyFill="1" applyBorder="1" applyAlignment="1">
      <alignment horizontal="center" vertical="center" wrapText="1"/>
    </xf>
    <xf numFmtId="0" fontId="1" fillId="16" borderId="4" xfId="4" applyFont="1" applyFill="1" applyBorder="1" applyAlignment="1">
      <alignment horizontal="center" vertical="top" wrapText="1"/>
    </xf>
    <xf numFmtId="0" fontId="1" fillId="16" borderId="2" xfId="4" applyFont="1" applyFill="1" applyBorder="1" applyAlignment="1">
      <alignment horizontal="center" vertical="top" wrapText="1"/>
    </xf>
    <xf numFmtId="0" fontId="9" fillId="5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1" fillId="9" borderId="8" xfId="0" applyFont="1" applyFill="1" applyBorder="1" applyAlignment="1">
      <alignment horizontal="center" vertical="center" wrapText="1"/>
    </xf>
    <xf numFmtId="0" fontId="11" fillId="9" borderId="9" xfId="0" applyFont="1" applyFill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9" fontId="14" fillId="0" borderId="18" xfId="5" applyFont="1" applyBorder="1" applyAlignment="1">
      <alignment horizontal="center"/>
    </xf>
    <xf numFmtId="0" fontId="11" fillId="0" borderId="8" xfId="4" applyFont="1" applyBorder="1" applyAlignment="1">
      <alignment horizontal="center" vertical="center" wrapText="1"/>
    </xf>
    <xf numFmtId="0" fontId="11" fillId="0" borderId="9" xfId="4" applyFont="1" applyBorder="1" applyAlignment="1">
      <alignment horizontal="center" vertical="center" wrapText="1"/>
    </xf>
    <xf numFmtId="0" fontId="11" fillId="0" borderId="10" xfId="4" applyFont="1" applyBorder="1" applyAlignment="1">
      <alignment horizontal="center" vertical="center" wrapText="1"/>
    </xf>
    <xf numFmtId="0" fontId="11" fillId="9" borderId="8" xfId="4" applyFont="1" applyFill="1" applyBorder="1" applyAlignment="1">
      <alignment horizontal="center" vertical="center" wrapText="1"/>
    </xf>
    <xf numFmtId="0" fontId="11" fillId="9" borderId="9" xfId="4" applyFont="1" applyFill="1" applyBorder="1" applyAlignment="1">
      <alignment horizontal="center" vertical="center" wrapText="1"/>
    </xf>
    <xf numFmtId="0" fontId="11" fillId="9" borderId="10" xfId="4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/>
    </xf>
  </cellXfs>
  <cellStyles count="10">
    <cellStyle name="Comma 2" xfId="6" xr:uid="{F43DBFA8-4337-49D6-BEED-D7BAC2C86E14}"/>
    <cellStyle name="Normal" xfId="0" builtinId="0"/>
    <cellStyle name="Normal 2" xfId="1" xr:uid="{4CDFCF5C-B2D3-4401-A966-8B3C74E094C1}"/>
    <cellStyle name="Normal 2 2" xfId="2" xr:uid="{533D495D-DF99-48E8-AE61-36091C49AA1F}"/>
    <cellStyle name="Normal 2 3" xfId="7" xr:uid="{182A279F-0903-460E-AF0C-4CFD58D60E67}"/>
    <cellStyle name="Normal 3" xfId="4" xr:uid="{F9D35DD0-5997-4A9E-A94D-13FD8F0FF7F2}"/>
    <cellStyle name="Normal 4" xfId="8" xr:uid="{A6A47843-E2AD-4756-BD84-D6514926442A}"/>
    <cellStyle name="Normal 5" xfId="9" xr:uid="{F9F639D1-E3B2-4FFC-98F8-E0B4955D620E}"/>
    <cellStyle name="Percent" xfId="3" builtinId="5"/>
    <cellStyle name="Percent 2" xfId="5" xr:uid="{F18CADEF-C79E-469E-8320-FC8A4E180D58}"/>
  </cellStyles>
  <dxfs count="12"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2060"/>
      </font>
      <fill>
        <patternFill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2" defaultPivotStyle="PivotStyleLight16"/>
  <colors>
    <mruColors>
      <color rgb="FFFFFF99"/>
      <color rgb="FFB1F6A8"/>
      <color rgb="FFFFCCFF"/>
      <color rgb="FFFFFF66"/>
      <color rgb="FFF5BA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0</xdr:colOff>
      <xdr:row>19</xdr:row>
      <xdr:rowOff>0</xdr:rowOff>
    </xdr:to>
    <xdr:pic>
      <xdr:nvPicPr>
        <xdr:cNvPr id="2" name="Picture 1" descr="Fondo azul abstracto en estilo indio superior. Diseño de plantillas para  portada, presentación de negocios, banner web, invitación de boda y  empaques de lujo. Ilustración de vector con borde dorado. 542749 Vector">
          <a:extLst>
            <a:ext uri="{FF2B5EF4-FFF2-40B4-BE49-F238E27FC236}">
              <a16:creationId xmlns:a16="http://schemas.microsoft.com/office/drawing/2014/main" id="{E9ABA609-757F-42ED-B127-4B79ED1E9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534400" cy="3619500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323850</xdr:colOff>
      <xdr:row>4</xdr:row>
      <xdr:rowOff>9525</xdr:rowOff>
    </xdr:from>
    <xdr:to>
      <xdr:col>8</xdr:col>
      <xdr:colOff>247650</xdr:colOff>
      <xdr:row>5</xdr:row>
      <xdr:rowOff>114300</xdr:rowOff>
    </xdr:to>
    <xdr:sp macro="[0]!Frecuencia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0534FD3-23DF-4A9F-8026-72C6E9E6F2E0}"/>
            </a:ext>
          </a:extLst>
        </xdr:cNvPr>
        <xdr:cNvSpPr/>
      </xdr:nvSpPr>
      <xdr:spPr>
        <a:xfrm>
          <a:off x="3981450" y="771525"/>
          <a:ext cx="1143000" cy="2952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FRECUENCIAS</a:t>
          </a:r>
        </a:p>
      </xdr:txBody>
    </xdr:sp>
    <xdr:clientData/>
  </xdr:twoCellAnchor>
  <xdr:twoCellAnchor>
    <xdr:from>
      <xdr:col>6</xdr:col>
      <xdr:colOff>333375</xdr:colOff>
      <xdr:row>8</xdr:row>
      <xdr:rowOff>133350</xdr:rowOff>
    </xdr:from>
    <xdr:to>
      <xdr:col>8</xdr:col>
      <xdr:colOff>257175</xdr:colOff>
      <xdr:row>10</xdr:row>
      <xdr:rowOff>47625</xdr:rowOff>
    </xdr:to>
    <xdr:sp macro="[0]!Descripció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9A904B8-CE17-4B9A-97C5-C66445306C52}"/>
            </a:ext>
          </a:extLst>
        </xdr:cNvPr>
        <xdr:cNvSpPr/>
      </xdr:nvSpPr>
      <xdr:spPr>
        <a:xfrm>
          <a:off x="3990975" y="1657350"/>
          <a:ext cx="1143000" cy="2952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DESCRIPCIÓN</a:t>
          </a:r>
        </a:p>
      </xdr:txBody>
    </xdr:sp>
    <xdr:clientData/>
  </xdr:twoCellAnchor>
  <xdr:twoCellAnchor>
    <xdr:from>
      <xdr:col>6</xdr:col>
      <xdr:colOff>333375</xdr:colOff>
      <xdr:row>10</xdr:row>
      <xdr:rowOff>180975</xdr:rowOff>
    </xdr:from>
    <xdr:to>
      <xdr:col>8</xdr:col>
      <xdr:colOff>257175</xdr:colOff>
      <xdr:row>12</xdr:row>
      <xdr:rowOff>95250</xdr:rowOff>
    </xdr:to>
    <xdr:sp macro="[0]!Perfilamiento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D4871A0-F6AC-4357-B3BA-CE3A8FEE6158}"/>
            </a:ext>
          </a:extLst>
        </xdr:cNvPr>
        <xdr:cNvSpPr/>
      </xdr:nvSpPr>
      <xdr:spPr>
        <a:xfrm>
          <a:off x="3990975" y="2085975"/>
          <a:ext cx="1143000" cy="2952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PERFILAMIENTO</a:t>
          </a:r>
        </a:p>
      </xdr:txBody>
    </xdr:sp>
    <xdr:clientData/>
  </xdr:twoCellAnchor>
  <xdr:twoCellAnchor>
    <xdr:from>
      <xdr:col>6</xdr:col>
      <xdr:colOff>333375</xdr:colOff>
      <xdr:row>6</xdr:row>
      <xdr:rowOff>95250</xdr:rowOff>
    </xdr:from>
    <xdr:to>
      <xdr:col>8</xdr:col>
      <xdr:colOff>257175</xdr:colOff>
      <xdr:row>8</xdr:row>
      <xdr:rowOff>9525</xdr:rowOff>
    </xdr:to>
    <xdr:sp macro="[0]!Variable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8CA0C290-A3A3-42C1-9B3B-D05A1C127A28}"/>
            </a:ext>
          </a:extLst>
        </xdr:cNvPr>
        <xdr:cNvSpPr/>
      </xdr:nvSpPr>
      <xdr:spPr>
        <a:xfrm>
          <a:off x="3990975" y="1238250"/>
          <a:ext cx="1143000" cy="2952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VARIABLES</a:t>
          </a:r>
        </a:p>
      </xdr:txBody>
    </xdr:sp>
    <xdr:clientData/>
  </xdr:twoCellAnchor>
  <xdr:twoCellAnchor>
    <xdr:from>
      <xdr:col>6</xdr:col>
      <xdr:colOff>323850</xdr:colOff>
      <xdr:row>13</xdr:row>
      <xdr:rowOff>57150</xdr:rowOff>
    </xdr:from>
    <xdr:to>
      <xdr:col>8</xdr:col>
      <xdr:colOff>247650</xdr:colOff>
      <xdr:row>14</xdr:row>
      <xdr:rowOff>161925</xdr:rowOff>
    </xdr:to>
    <xdr:sp macro="[0]!Folio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B4B0396-0916-A670-B5B9-612972D2877A}"/>
            </a:ext>
          </a:extLst>
        </xdr:cNvPr>
        <xdr:cNvSpPr/>
      </xdr:nvSpPr>
      <xdr:spPr>
        <a:xfrm>
          <a:off x="3981450" y="2533650"/>
          <a:ext cx="1143000" cy="2952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FOLIO</a:t>
          </a:r>
        </a:p>
      </xdr:txBody>
    </xdr:sp>
    <xdr:clientData/>
  </xdr:twoCellAnchor>
  <xdr:oneCellAnchor>
    <xdr:from>
      <xdr:col>0</xdr:col>
      <xdr:colOff>581026</xdr:colOff>
      <xdr:row>6</xdr:row>
      <xdr:rowOff>47625</xdr:rowOff>
    </xdr:from>
    <xdr:ext cx="3124200" cy="1249445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4EE434D-7F5B-9366-3E31-60DC0583B766}"/>
            </a:ext>
          </a:extLst>
        </xdr:cNvPr>
        <xdr:cNvSpPr txBox="1"/>
      </xdr:nvSpPr>
      <xdr:spPr>
        <a:xfrm>
          <a:off x="581026" y="1190625"/>
          <a:ext cx="3124200" cy="12494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MX" sz="2400" b="1">
              <a:solidFill>
                <a:schemeClr val="bg1"/>
              </a:solidFill>
              <a:latin typeface="Amasis MT Pro Black" panose="02040A04050005020304" pitchFamily="18" charset="0"/>
            </a:rPr>
            <a:t>SEGMENTACIÓN</a:t>
          </a:r>
          <a:r>
            <a:rPr lang="es-MX" sz="2000" b="1">
              <a:solidFill>
                <a:schemeClr val="bg1"/>
              </a:solidFill>
              <a:latin typeface="Amasis MT Pro Black" panose="02040A04050005020304" pitchFamily="18" charset="0"/>
            </a:rPr>
            <a:t> </a:t>
          </a:r>
          <a:r>
            <a:rPr lang="es-MX" sz="1600" b="1">
              <a:solidFill>
                <a:schemeClr val="bg1"/>
              </a:solidFill>
              <a:latin typeface="Amasis MT Pro Black" panose="02040A04050005020304" pitchFamily="18" charset="0"/>
            </a:rPr>
            <a:t> DE </a:t>
          </a:r>
          <a:r>
            <a:rPr lang="es-MX" sz="2400" b="1">
              <a:solidFill>
                <a:schemeClr val="bg1"/>
              </a:solidFill>
              <a:latin typeface="Amasis MT Pro Black" panose="02040A04050005020304" pitchFamily="18" charset="0"/>
            </a:rPr>
            <a:t>EMPRENDEDORES</a:t>
          </a:r>
          <a:endParaRPr lang="es-MX" sz="2000" b="1">
            <a:solidFill>
              <a:schemeClr val="bg1"/>
            </a:solidFill>
            <a:latin typeface="Amasis MT Pro Black" panose="02040A04050005020304" pitchFamily="18" charset="0"/>
          </a:endParaRPr>
        </a:p>
        <a:p>
          <a:endParaRPr lang="es-MX" sz="1100"/>
        </a:p>
      </xdr:txBody>
    </xdr:sp>
    <xdr:clientData/>
  </xdr:oneCellAnchor>
  <xdr:twoCellAnchor editAs="oneCell">
    <xdr:from>
      <xdr:col>9</xdr:col>
      <xdr:colOff>47625</xdr:colOff>
      <xdr:row>3</xdr:row>
      <xdr:rowOff>142875</xdr:rowOff>
    </xdr:from>
    <xdr:to>
      <xdr:col>12</xdr:col>
      <xdr:colOff>419100</xdr:colOff>
      <xdr:row>14</xdr:row>
      <xdr:rowOff>123825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D919324-6203-2EE6-C479-6A847A94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716" b="89450" l="3030" r="95671">
                      <a14:foregroundMark x1="31602" y1="20642" x2="31602" y2="20642"/>
                      <a14:foregroundMark x1="65368" y1="11468" x2="65368" y2="11468"/>
                      <a14:foregroundMark x1="83550" y1="25688" x2="83550" y2="25688"/>
                      <a14:foregroundMark x1="91342" y1="35780" x2="91342" y2="35780"/>
                      <a14:foregroundMark x1="91342" y1="53211" x2="91342" y2="53211"/>
                      <a14:foregroundMark x1="95671" y1="57339" x2="95671" y2="57339"/>
                      <a14:foregroundMark x1="7359" y1="72477" x2="7359" y2="72477"/>
                      <a14:foregroundMark x1="3030" y1="69725" x2="3030" y2="69725"/>
                      <a14:foregroundMark x1="18615" y1="38991" x2="18615" y2="38991"/>
                      <a14:foregroundMark x1="45455" y1="46789" x2="45455" y2="46789"/>
                      <a14:foregroundMark x1="61472" y1="30734" x2="61472" y2="30734"/>
                      <a14:foregroundMark x1="83983" y1="38073" x2="83983" y2="38073"/>
                      <a14:foregroundMark x1="55844" y1="72018" x2="55844" y2="72018"/>
                      <a14:foregroundMark x1="58009" y1="59633" x2="58009" y2="59633"/>
                      <a14:foregroundMark x1="38528" y1="54587" x2="38528" y2="54587"/>
                      <a14:foregroundMark x1="30736" y1="38532" x2="30736" y2="38532"/>
                      <a14:foregroundMark x1="38095" y1="35780" x2="38095" y2="35780"/>
                      <a14:foregroundMark x1="45022" y1="45872" x2="45022" y2="45872"/>
                      <a14:foregroundMark x1="73593" y1="43119" x2="73593" y2="43119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534025" y="714375"/>
          <a:ext cx="2200275" cy="2076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0</xdr:row>
      <xdr:rowOff>180975</xdr:rowOff>
    </xdr:from>
    <xdr:ext cx="4038601" cy="26757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1FF36E1-7DCE-42DC-B4D5-4478FCDB29C2}"/>
            </a:ext>
          </a:extLst>
        </xdr:cNvPr>
        <xdr:cNvSpPr txBox="1"/>
      </xdr:nvSpPr>
      <xdr:spPr>
        <a:xfrm>
          <a:off x="1223701" y="180975"/>
          <a:ext cx="4038601" cy="267573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s-MX" sz="1100" b="1">
              <a:solidFill>
                <a:srgbClr val="C00000"/>
              </a:solidFill>
            </a:rPr>
            <a:t>NOTAS IMPORTANTES:</a:t>
          </a:r>
        </a:p>
        <a:p>
          <a:pPr algn="l"/>
          <a:endParaRPr lang="es-MX" sz="1100"/>
        </a:p>
        <a:p>
          <a:pPr algn="l"/>
          <a:r>
            <a:rPr lang="es-MX" sz="1100"/>
            <a:t>Muchas veces nos dan el avión en las encuestas,</a:t>
          </a:r>
          <a:r>
            <a:rPr lang="es-MX" sz="1100" baseline="0"/>
            <a:t> asi que no sólo se </a:t>
          </a:r>
          <a:r>
            <a:rPr lang="es-MX" sz="1100"/>
            <a:t>sacaron</a:t>
          </a:r>
          <a:r>
            <a:rPr lang="es-MX" sz="1100" baseline="0"/>
            <a:t> las </a:t>
          </a:r>
          <a:r>
            <a:rPr lang="es-MX" sz="1100"/>
            <a:t>frecuencias,</a:t>
          </a:r>
          <a:r>
            <a:rPr lang="es-MX" sz="1100" baseline="0"/>
            <a:t> sino que también se </a:t>
          </a:r>
          <a:r>
            <a:rPr lang="es-MX" sz="1100"/>
            <a:t>calcularon las proporciones</a:t>
          </a:r>
          <a:r>
            <a:rPr lang="es-MX" sz="1100" baseline="0"/>
            <a:t> con el objetivo de</a:t>
          </a:r>
          <a:r>
            <a:rPr lang="es-MX" sz="1100"/>
            <a:t> observar si la variable realmente nos sirve</a:t>
          </a:r>
          <a:r>
            <a:rPr lang="es-MX" sz="1100" baseline="0"/>
            <a:t> para perfilar.</a:t>
          </a:r>
        </a:p>
        <a:p>
          <a:pPr algn="l"/>
          <a:endParaRPr lang="es-MX" sz="1100" baseline="0"/>
        </a:p>
        <a:p>
          <a:pPr algn="l"/>
          <a:r>
            <a:rPr lang="es-MX" sz="1100" baseline="0"/>
            <a:t>1) Se sacaron las frecuencias y las proporciones en R.</a:t>
          </a:r>
        </a:p>
        <a:p>
          <a:pPr algn="l"/>
          <a:endParaRPr lang="es-MX" sz="1100" baseline="0"/>
        </a:p>
        <a:p>
          <a:pPr algn="l"/>
          <a:r>
            <a:rPr lang="es-MX" sz="1100" baseline="0"/>
            <a:t>2) Se seleccionaron las variables.</a:t>
          </a:r>
        </a:p>
        <a:p>
          <a:pPr algn="l"/>
          <a:endParaRPr lang="es-MX" sz="1100" baseline="0"/>
        </a:p>
        <a:p>
          <a:pPr algn="l"/>
          <a:r>
            <a:rPr lang="es-MX" sz="1100" baseline="0"/>
            <a:t>3) Se  hizo un dataset con la selección de variables, dejando key y numericalId.</a:t>
          </a:r>
        </a:p>
        <a:p>
          <a:pPr algn="l"/>
          <a:endParaRPr lang="es-MX" sz="1100" baseline="0"/>
        </a:p>
        <a:p>
          <a:pPr algn="l"/>
          <a:r>
            <a:rPr lang="es-MX" sz="1100" baseline="0"/>
            <a:t>4) Se realizó una segmentación en python.</a:t>
          </a:r>
        </a:p>
      </xdr:txBody>
    </xdr:sp>
    <xdr:clientData/>
  </xdr:oneCellAnchor>
  <xdr:twoCellAnchor>
    <xdr:from>
      <xdr:col>12</xdr:col>
      <xdr:colOff>57151</xdr:colOff>
      <xdr:row>4</xdr:row>
      <xdr:rowOff>133350</xdr:rowOff>
    </xdr:from>
    <xdr:to>
      <xdr:col>12</xdr:col>
      <xdr:colOff>590551</xdr:colOff>
      <xdr:row>7</xdr:row>
      <xdr:rowOff>133350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8F7D5CE9-08DD-0116-ED8F-C834799E0E0A}"/>
            </a:ext>
          </a:extLst>
        </xdr:cNvPr>
        <xdr:cNvSpPr/>
      </xdr:nvSpPr>
      <xdr:spPr>
        <a:xfrm>
          <a:off x="7372351" y="895350"/>
          <a:ext cx="533400" cy="571500"/>
        </a:xfrm>
        <a:prstGeom prst="up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114300</xdr:rowOff>
    </xdr:from>
    <xdr:to>
      <xdr:col>1</xdr:col>
      <xdr:colOff>504825</xdr:colOff>
      <xdr:row>3</xdr:row>
      <xdr:rowOff>9525</xdr:rowOff>
    </xdr:to>
    <xdr:sp macro="[0]!Menú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4F65D-5E17-40EA-9AC5-A896CCD934E0}"/>
            </a:ext>
          </a:extLst>
        </xdr:cNvPr>
        <xdr:cNvSpPr/>
      </xdr:nvSpPr>
      <xdr:spPr>
        <a:xfrm>
          <a:off x="66675" y="114300"/>
          <a:ext cx="1200150" cy="46672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416719</xdr:colOff>
      <xdr:row>18</xdr:row>
      <xdr:rowOff>63500</xdr:rowOff>
    </xdr:from>
    <xdr:to>
      <xdr:col>8</xdr:col>
      <xdr:colOff>777875</xdr:colOff>
      <xdr:row>40</xdr:row>
      <xdr:rowOff>63500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4A44D79-6E32-E60F-F1F6-BC60A2A9F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719" y="6318250"/>
          <a:ext cx="7171531" cy="434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285749</xdr:colOff>
      <xdr:row>0</xdr:row>
      <xdr:rowOff>174625</xdr:rowOff>
    </xdr:from>
    <xdr:to>
      <xdr:col>4</xdr:col>
      <xdr:colOff>428625</xdr:colOff>
      <xdr:row>4</xdr:row>
      <xdr:rowOff>47625</xdr:rowOff>
    </xdr:to>
    <xdr:sp macro="[0]!Menú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1E5280A7-D531-4E64-8F40-225FCBC2629C}"/>
            </a:ext>
          </a:extLst>
        </xdr:cNvPr>
        <xdr:cNvSpPr/>
      </xdr:nvSpPr>
      <xdr:spPr>
        <a:xfrm>
          <a:off x="888999" y="174625"/>
          <a:ext cx="1952626" cy="71437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MENÚ</a:t>
          </a:r>
        </a:p>
      </xdr:txBody>
    </xdr:sp>
    <xdr:clientData/>
  </xdr:twoCellAnchor>
  <xdr:twoCellAnchor editAs="oneCell">
    <xdr:from>
      <xdr:col>8</xdr:col>
      <xdr:colOff>396875</xdr:colOff>
      <xdr:row>25</xdr:row>
      <xdr:rowOff>333375</xdr:rowOff>
    </xdr:from>
    <xdr:to>
      <xdr:col>8</xdr:col>
      <xdr:colOff>2333328</xdr:colOff>
      <xdr:row>32</xdr:row>
      <xdr:rowOff>7208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EB502E-9F77-44E1-81C5-A2AD54D5F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0" y="7921625"/>
          <a:ext cx="1936453" cy="116608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8</xdr:col>
      <xdr:colOff>3051871</xdr:colOff>
      <xdr:row>20</xdr:row>
      <xdr:rowOff>117320</xdr:rowOff>
    </xdr:from>
    <xdr:to>
      <xdr:col>10</xdr:col>
      <xdr:colOff>3340565</xdr:colOff>
      <xdr:row>38</xdr:row>
      <xdr:rowOff>113743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EE69E4-CCDE-346C-39F4-C8C0F27B9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5246" y="7007070"/>
          <a:ext cx="7765819" cy="35841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286644</xdr:colOff>
      <xdr:row>0</xdr:row>
      <xdr:rowOff>160739</xdr:rowOff>
    </xdr:from>
    <xdr:ext cx="2960515" cy="59330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C94160-B0D1-10E2-10F2-EEB1FAB75028}"/>
            </a:ext>
          </a:extLst>
        </xdr:cNvPr>
        <xdr:cNvSpPr txBox="1"/>
      </xdr:nvSpPr>
      <xdr:spPr>
        <a:xfrm>
          <a:off x="3490508" y="160739"/>
          <a:ext cx="2960515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threePt" dir="t"/>
          </a:scene3d>
          <a:sp3d extrusionH="57150">
            <a:bevelT w="38100" h="38100"/>
            <a:bevelB w="38100" h="38100"/>
          </a:sp3d>
        </a:bodyPr>
        <a:lstStyle/>
        <a:p>
          <a:r>
            <a:rPr lang="es-MX" sz="3200" b="1">
              <a:effectLst>
                <a:glow rad="101600">
                  <a:schemeClr val="accent3">
                    <a:satMod val="175000"/>
                    <a:alpha val="40000"/>
                  </a:schemeClr>
                </a:glow>
                <a:outerShdw blurRad="50800" dist="38100" dir="5400000" sx="93000" sy="93000" algn="t" rotWithShape="0">
                  <a:schemeClr val="bg1">
                    <a:alpha val="40000"/>
                  </a:schemeClr>
                </a:outerShdw>
              </a:effectLst>
            </a:rPr>
            <a:t>PERFILAMIENTO</a:t>
          </a:r>
          <a:endParaRPr lang="es-MX" sz="1800" b="1">
            <a:effectLst>
              <a:glow rad="101600">
                <a:schemeClr val="accent3">
                  <a:satMod val="175000"/>
                  <a:alpha val="40000"/>
                </a:schemeClr>
              </a:glow>
              <a:outerShdw blurRad="50800" dist="38100" dir="5400000" sx="93000" sy="93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14432</xdr:colOff>
      <xdr:row>0</xdr:row>
      <xdr:rowOff>158750</xdr:rowOff>
    </xdr:from>
    <xdr:to>
      <xdr:col>2</xdr:col>
      <xdr:colOff>1960758</xdr:colOff>
      <xdr:row>4</xdr:row>
      <xdr:rowOff>0</xdr:rowOff>
    </xdr:to>
    <xdr:pic macro="[0]!Menú">
      <xdr:nvPicPr>
        <xdr:cNvPr id="3" name="Picture 2">
          <a:extLst>
            <a:ext uri="{FF2B5EF4-FFF2-40B4-BE49-F238E27FC236}">
              <a16:creationId xmlns:a16="http://schemas.microsoft.com/office/drawing/2014/main" id="{D3631474-0FF1-27A0-EB37-B0EA510A0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705" y="158750"/>
          <a:ext cx="1946326" cy="6205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</xdr:row>
      <xdr:rowOff>95250</xdr:rowOff>
    </xdr:from>
    <xdr:to>
      <xdr:col>6</xdr:col>
      <xdr:colOff>542924</xdr:colOff>
      <xdr:row>15</xdr:row>
      <xdr:rowOff>123825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FD03785A-42AE-7813-E8A4-A73673AF9FAC}"/>
            </a:ext>
          </a:extLst>
        </xdr:cNvPr>
        <xdr:cNvSpPr/>
      </xdr:nvSpPr>
      <xdr:spPr>
        <a:xfrm>
          <a:off x="11601449" y="95250"/>
          <a:ext cx="428625" cy="2714625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7</xdr:col>
      <xdr:colOff>28575</xdr:colOff>
      <xdr:row>7</xdr:row>
      <xdr:rowOff>123825</xdr:rowOff>
    </xdr:from>
    <xdr:ext cx="2375202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FBEED3A-CC6C-D02C-0723-F7CCB810A6E4}"/>
            </a:ext>
          </a:extLst>
        </xdr:cNvPr>
        <xdr:cNvSpPr txBox="1"/>
      </xdr:nvSpPr>
      <xdr:spPr>
        <a:xfrm>
          <a:off x="12125325" y="1285875"/>
          <a:ext cx="23752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/>
            <a:t>Variables</a:t>
          </a:r>
          <a:r>
            <a:rPr lang="es-MX" sz="1100" baseline="0"/>
            <a:t> que se agregaron al modelo.</a:t>
          </a:r>
          <a:endParaRPr lang="es-MX" sz="1100"/>
        </a:p>
      </xdr:txBody>
    </xdr:sp>
    <xdr:clientData/>
  </xdr:oneCellAnchor>
  <xdr:twoCellAnchor>
    <xdr:from>
      <xdr:col>0</xdr:col>
      <xdr:colOff>295275</xdr:colOff>
      <xdr:row>0</xdr:row>
      <xdr:rowOff>171449</xdr:rowOff>
    </xdr:from>
    <xdr:to>
      <xdr:col>0</xdr:col>
      <xdr:colOff>1485900</xdr:colOff>
      <xdr:row>3</xdr:row>
      <xdr:rowOff>76199</xdr:rowOff>
    </xdr:to>
    <xdr:sp macro="[0]!Menú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7F429C-0739-4CEB-B9C2-9D5670CF5907}"/>
            </a:ext>
          </a:extLst>
        </xdr:cNvPr>
        <xdr:cNvSpPr/>
      </xdr:nvSpPr>
      <xdr:spPr>
        <a:xfrm>
          <a:off x="295275" y="171449"/>
          <a:ext cx="1190625" cy="504825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MENÚ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95250</xdr:rowOff>
    </xdr:from>
    <xdr:to>
      <xdr:col>1</xdr:col>
      <xdr:colOff>476250</xdr:colOff>
      <xdr:row>2</xdr:row>
      <xdr:rowOff>171450</xdr:rowOff>
    </xdr:to>
    <xdr:sp macro="[0]!Menú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5D623D-19BD-4DB6-B65E-A224B6AC6A32}"/>
            </a:ext>
          </a:extLst>
        </xdr:cNvPr>
        <xdr:cNvSpPr/>
      </xdr:nvSpPr>
      <xdr:spPr>
        <a:xfrm>
          <a:off x="161925" y="95250"/>
          <a:ext cx="1228725" cy="457200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2BC5CB-CAD5-4454-91BF-215E56CC2F47}" name="Table2" displayName="Table2" ref="A5:F413" totalsRowShown="0">
  <autoFilter ref="A5:F413" xr:uid="{E7B6E40A-25E4-4158-B999-6DD4F73E4EE1}"/>
  <tableColumns count="6">
    <tableColumn id="1" xr3:uid="{61D6D5F3-CD8B-4BAA-88FE-60E6511AEF4B}" name="Valor"/>
    <tableColumn id="2" xr3:uid="{2DBB9371-B1AC-493E-B776-F7429ABAEA52}" name="Key"/>
    <tableColumn id="3" xr3:uid="{8615A054-FA9F-47C6-A95D-0E17D53869D1}" name="Etiqueta"/>
    <tableColumn id="4" xr3:uid="{1383A3AA-9BFE-4CA0-A3DC-DA6B9C26D8BF}" name="Freq"/>
    <tableColumn id="5" xr3:uid="{349984A3-7E78-46F4-BF0A-041588D9E216}" name="Prop"/>
    <tableColumn id="6" xr3:uid="{F07921AA-E16C-40F3-8C5D-F49927A58515}" name="En porcentaje" dataDxfId="11" dataCellStyle="Perce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F03BE-E496-41B1-9D03-4C66BC709E04}" name="Table1" displayName="Table1" ref="A5:B420" totalsRowShown="0" headerRowDxfId="0">
  <autoFilter ref="A5:B420" xr:uid="{484F03BE-E496-41B1-9D03-4C66BC709E04}"/>
  <tableColumns count="2">
    <tableColumn id="2" xr3:uid="{D601527A-660B-4A4A-8E44-32B0864731E7}" name="numericalId" dataCellStyle="Normal 4"/>
    <tableColumn id="3" xr3:uid="{E72F3E50-3DBD-42EE-9928-BF185FD1A411}" name="KMeans_Clusters 4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D287-6B01-4B3F-8F0D-C0E09B8962B6}">
  <sheetPr>
    <tabColor rgb="FF002060"/>
  </sheetPr>
  <dimension ref="A1:N19"/>
  <sheetViews>
    <sheetView showGridLines="0" tabSelected="1" workbookViewId="0">
      <selection activeCell="J13" sqref="J13"/>
    </sheetView>
  </sheetViews>
  <sheetFormatPr defaultColWidth="0" defaultRowHeight="15" customHeight="1" zeroHeight="1" x14ac:dyDescent="0.25"/>
  <cols>
    <col min="1" max="14" width="9.140625" style="111" customWidth="1"/>
    <col min="15" max="16384" width="9.140625" style="111" hidden="1"/>
  </cols>
  <sheetData>
    <row r="1" spans="1:14" x14ac:dyDescent="0.25">
      <c r="A1" s="110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pans="1:14" x14ac:dyDescent="0.25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</row>
    <row r="3" spans="1:14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</row>
    <row r="4" spans="1:14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</row>
    <row r="5" spans="1:14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</row>
    <row r="6" spans="1:14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</row>
    <row r="7" spans="1:14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14" x14ac:dyDescent="0.25">
      <c r="A8" s="110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</row>
    <row r="9" spans="1:14" x14ac:dyDescent="0.25">
      <c r="A9" s="110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</row>
    <row r="10" spans="1:14" x14ac:dyDescent="0.25">
      <c r="A10" s="110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</row>
    <row r="11" spans="1:14" x14ac:dyDescent="0.25">
      <c r="A11" s="110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</row>
    <row r="12" spans="1:14" x14ac:dyDescent="0.25">
      <c r="A12" s="110"/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</row>
    <row r="13" spans="1:14" x14ac:dyDescent="0.25">
      <c r="A13" s="110"/>
      <c r="B13" s="110"/>
      <c r="C13" s="110"/>
      <c r="D13" s="110"/>
      <c r="E13" s="110"/>
      <c r="F13" s="110"/>
      <c r="G13" s="110"/>
      <c r="H13" s="110"/>
      <c r="I13" s="110"/>
      <c r="K13" s="110"/>
      <c r="L13" s="110"/>
      <c r="M13" s="110"/>
      <c r="N13" s="110"/>
    </row>
    <row r="14" spans="1:14" x14ac:dyDescent="0.25">
      <c r="A14" s="110"/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</row>
    <row r="15" spans="1:14" x14ac:dyDescent="0.25">
      <c r="A15" s="110"/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</row>
    <row r="16" spans="1:14" x14ac:dyDescent="0.25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</row>
    <row r="17" spans="1:14" x14ac:dyDescent="0.25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</row>
    <row r="18" spans="1:14" x14ac:dyDescent="0.25">
      <c r="A18" s="110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</row>
    <row r="19" spans="1:14" x14ac:dyDescent="0.25">
      <c r="A19" s="110"/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4B4B-C285-4BD7-A886-FCDE92E65133}">
  <sheetPr>
    <tabColor theme="1"/>
  </sheetPr>
  <dimension ref="K3:O4"/>
  <sheetViews>
    <sheetView showGridLines="0" zoomScale="91" zoomScaleNormal="91" workbookViewId="0">
      <selection activeCell="L7" sqref="L7"/>
    </sheetView>
  </sheetViews>
  <sheetFormatPr defaultRowHeight="15" x14ac:dyDescent="0.25"/>
  <cols>
    <col min="1" max="14" width="9.140625" customWidth="1"/>
    <col min="15" max="15" width="10.7109375" customWidth="1"/>
    <col min="16" max="16" width="9.140625" customWidth="1"/>
  </cols>
  <sheetData>
    <row r="3" spans="11:15" x14ac:dyDescent="0.25">
      <c r="K3" s="126" t="s">
        <v>135</v>
      </c>
      <c r="L3" s="126"/>
      <c r="M3" s="126"/>
      <c r="N3" s="126"/>
      <c r="O3" s="126"/>
    </row>
    <row r="4" spans="11:15" x14ac:dyDescent="0.25">
      <c r="K4" s="127" t="s">
        <v>470</v>
      </c>
      <c r="L4" s="127"/>
      <c r="M4" s="127"/>
      <c r="N4" s="127"/>
      <c r="O4" s="127"/>
    </row>
  </sheetData>
  <mergeCells count="2">
    <mergeCell ref="K3:O3"/>
    <mergeCell ref="K4:O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6E40A-25E4-4158-B999-6DD4F73E4EE1}">
  <sheetPr>
    <tabColor theme="5"/>
  </sheetPr>
  <dimension ref="A5:L413"/>
  <sheetViews>
    <sheetView showGridLines="0" workbookViewId="0">
      <pane ySplit="5" topLeftCell="A6" activePane="bottomLeft" state="frozen"/>
      <selection pane="bottomLeft" activeCell="G9" sqref="G9"/>
    </sheetView>
  </sheetViews>
  <sheetFormatPr defaultColWidth="0" defaultRowHeight="15" x14ac:dyDescent="0.25"/>
  <cols>
    <col min="1" max="5" width="11.42578125" customWidth="1"/>
    <col min="6" max="6" width="15.5703125" bestFit="1" customWidth="1"/>
    <col min="7" max="7" width="11.42578125" customWidth="1"/>
    <col min="8" max="12" width="0" hidden="1" customWidth="1"/>
    <col min="13" max="16384" width="9.140625" hidden="1"/>
  </cols>
  <sheetData>
    <row r="5" spans="1:6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361</v>
      </c>
    </row>
    <row r="6" spans="1:6" x14ac:dyDescent="0.25">
      <c r="A6" t="s">
        <v>8</v>
      </c>
      <c r="B6" t="s">
        <v>5</v>
      </c>
      <c r="C6" t="s">
        <v>9</v>
      </c>
      <c r="D6">
        <v>225</v>
      </c>
      <c r="E6">
        <v>0.54216867469879504</v>
      </c>
      <c r="F6" s="6">
        <v>0.54216867469879504</v>
      </c>
    </row>
    <row r="7" spans="1:6" x14ac:dyDescent="0.25">
      <c r="A7" t="s">
        <v>8</v>
      </c>
      <c r="B7" t="s">
        <v>6</v>
      </c>
      <c r="C7" t="s">
        <v>10</v>
      </c>
      <c r="D7">
        <v>190</v>
      </c>
      <c r="E7">
        <v>0.45783132530120502</v>
      </c>
      <c r="F7" s="6">
        <v>0.45783132530120502</v>
      </c>
    </row>
    <row r="8" spans="1:6" x14ac:dyDescent="0.25">
      <c r="A8" t="s">
        <v>118</v>
      </c>
      <c r="B8" t="s">
        <v>5</v>
      </c>
      <c r="C8" t="s">
        <v>126</v>
      </c>
      <c r="D8">
        <v>102</v>
      </c>
      <c r="E8">
        <v>0.24578313253011999</v>
      </c>
      <c r="F8" s="6">
        <v>0.24578313253011999</v>
      </c>
    </row>
    <row r="9" spans="1:6" x14ac:dyDescent="0.25">
      <c r="A9" t="s">
        <v>118</v>
      </c>
      <c r="B9" t="s">
        <v>6</v>
      </c>
      <c r="C9" t="s">
        <v>127</v>
      </c>
      <c r="D9">
        <v>131</v>
      </c>
      <c r="E9">
        <v>0.31566265060241</v>
      </c>
      <c r="F9" s="6">
        <v>0.31566265060241</v>
      </c>
    </row>
    <row r="10" spans="1:6" x14ac:dyDescent="0.25">
      <c r="A10" t="s">
        <v>118</v>
      </c>
      <c r="B10" t="s">
        <v>7</v>
      </c>
      <c r="C10" t="s">
        <v>128</v>
      </c>
      <c r="D10">
        <v>92</v>
      </c>
      <c r="E10">
        <v>0.22168674698795199</v>
      </c>
      <c r="F10" s="6">
        <v>0.22168674698795199</v>
      </c>
    </row>
    <row r="11" spans="1:6" x14ac:dyDescent="0.25">
      <c r="A11" t="s">
        <v>118</v>
      </c>
      <c r="B11" t="s">
        <v>12</v>
      </c>
      <c r="C11" t="s">
        <v>129</v>
      </c>
      <c r="D11">
        <v>90</v>
      </c>
      <c r="E11">
        <v>0.21686746987951799</v>
      </c>
      <c r="F11" s="6">
        <v>0.21686746987951799</v>
      </c>
    </row>
    <row r="12" spans="1:6" x14ac:dyDescent="0.25">
      <c r="A12" t="s">
        <v>130</v>
      </c>
      <c r="B12" t="s">
        <v>5</v>
      </c>
      <c r="C12" t="s">
        <v>16</v>
      </c>
      <c r="D12">
        <v>302</v>
      </c>
      <c r="E12">
        <v>0.72771084337349401</v>
      </c>
      <c r="F12" s="6">
        <v>0.72771084337349401</v>
      </c>
    </row>
    <row r="13" spans="1:6" x14ac:dyDescent="0.25">
      <c r="A13" t="s">
        <v>130</v>
      </c>
      <c r="B13" t="s">
        <v>6</v>
      </c>
      <c r="C13" t="s">
        <v>11</v>
      </c>
      <c r="D13">
        <v>69</v>
      </c>
      <c r="E13">
        <v>0.16626506024096399</v>
      </c>
      <c r="F13" s="6">
        <v>0.16626506024096399</v>
      </c>
    </row>
    <row r="14" spans="1:6" x14ac:dyDescent="0.25">
      <c r="A14" t="s">
        <v>130</v>
      </c>
      <c r="B14" t="s">
        <v>7</v>
      </c>
      <c r="C14" t="s">
        <v>131</v>
      </c>
      <c r="D14">
        <v>44</v>
      </c>
      <c r="E14">
        <v>0.106024096385542</v>
      </c>
      <c r="F14" s="6">
        <v>0.106024096385542</v>
      </c>
    </row>
    <row r="15" spans="1:6" x14ac:dyDescent="0.25">
      <c r="A15" t="s">
        <v>17</v>
      </c>
      <c r="B15" t="s">
        <v>5</v>
      </c>
      <c r="C15" t="s">
        <v>18</v>
      </c>
      <c r="D15">
        <v>71</v>
      </c>
      <c r="E15">
        <v>0.17108433734939801</v>
      </c>
      <c r="F15" s="6">
        <v>0.17108433734939801</v>
      </c>
    </row>
    <row r="16" spans="1:6" x14ac:dyDescent="0.25">
      <c r="A16" t="s">
        <v>17</v>
      </c>
      <c r="B16" t="s">
        <v>6</v>
      </c>
      <c r="C16" t="s">
        <v>19</v>
      </c>
      <c r="D16">
        <v>82</v>
      </c>
      <c r="E16">
        <v>0.19759036144578301</v>
      </c>
      <c r="F16" s="6">
        <v>0.19759036144578301</v>
      </c>
    </row>
    <row r="17" spans="1:6" x14ac:dyDescent="0.25">
      <c r="A17" t="s">
        <v>17</v>
      </c>
      <c r="B17" t="s">
        <v>7</v>
      </c>
      <c r="C17" t="s">
        <v>20</v>
      </c>
      <c r="D17">
        <v>81</v>
      </c>
      <c r="E17">
        <v>0.19518072289156599</v>
      </c>
      <c r="F17" s="6">
        <v>0.19518072289156599</v>
      </c>
    </row>
    <row r="18" spans="1:6" x14ac:dyDescent="0.25">
      <c r="A18" t="s">
        <v>17</v>
      </c>
      <c r="B18" t="s">
        <v>12</v>
      </c>
      <c r="C18" t="s">
        <v>21</v>
      </c>
      <c r="D18">
        <v>53</v>
      </c>
      <c r="E18">
        <v>0.127710843373494</v>
      </c>
      <c r="F18" s="6">
        <v>0.127710843373494</v>
      </c>
    </row>
    <row r="19" spans="1:6" x14ac:dyDescent="0.25">
      <c r="A19" t="s">
        <v>17</v>
      </c>
      <c r="B19" t="s">
        <v>13</v>
      </c>
      <c r="C19" t="s">
        <v>22</v>
      </c>
      <c r="D19">
        <v>65</v>
      </c>
      <c r="E19">
        <v>0.156626506024096</v>
      </c>
      <c r="F19" s="6">
        <v>0.156626506024096</v>
      </c>
    </row>
    <row r="20" spans="1:6" x14ac:dyDescent="0.25">
      <c r="A20" t="s">
        <v>17</v>
      </c>
      <c r="B20" t="s">
        <v>14</v>
      </c>
      <c r="C20" t="s">
        <v>23</v>
      </c>
      <c r="D20">
        <v>63</v>
      </c>
      <c r="E20">
        <v>0.15180722891566301</v>
      </c>
      <c r="F20" s="6">
        <v>0.15180722891566301</v>
      </c>
    </row>
    <row r="21" spans="1:6" x14ac:dyDescent="0.25">
      <c r="A21" t="s">
        <v>225</v>
      </c>
      <c r="B21" t="s">
        <v>5</v>
      </c>
      <c r="C21" t="s">
        <v>226</v>
      </c>
      <c r="D21">
        <v>257</v>
      </c>
      <c r="E21">
        <v>0.61927710843373496</v>
      </c>
      <c r="F21" s="6">
        <v>0.61927710843373496</v>
      </c>
    </row>
    <row r="22" spans="1:6" x14ac:dyDescent="0.25">
      <c r="A22" t="s">
        <v>225</v>
      </c>
      <c r="B22" t="s">
        <v>6</v>
      </c>
      <c r="C22" t="s">
        <v>227</v>
      </c>
      <c r="D22">
        <v>4</v>
      </c>
      <c r="E22">
        <v>9.6385542168674707E-3</v>
      </c>
      <c r="F22" s="6">
        <v>9.6385542168674707E-3</v>
      </c>
    </row>
    <row r="23" spans="1:6" x14ac:dyDescent="0.25">
      <c r="A23" t="s">
        <v>225</v>
      </c>
      <c r="B23" t="s">
        <v>7</v>
      </c>
      <c r="C23" t="s">
        <v>228</v>
      </c>
      <c r="D23">
        <v>29</v>
      </c>
      <c r="E23">
        <v>6.9879518072289204E-2</v>
      </c>
      <c r="F23" s="6">
        <v>6.9879518072289204E-2</v>
      </c>
    </row>
    <row r="24" spans="1:6" x14ac:dyDescent="0.25">
      <c r="A24" t="s">
        <v>225</v>
      </c>
      <c r="B24" t="s">
        <v>12</v>
      </c>
      <c r="C24" t="s">
        <v>229</v>
      </c>
      <c r="D24">
        <v>3</v>
      </c>
      <c r="E24">
        <v>7.2289156626506E-3</v>
      </c>
      <c r="F24" s="6">
        <v>7.2289156626506E-3</v>
      </c>
    </row>
    <row r="25" spans="1:6" x14ac:dyDescent="0.25">
      <c r="A25" t="s">
        <v>225</v>
      </c>
      <c r="B25" t="s">
        <v>13</v>
      </c>
      <c r="C25" t="s">
        <v>230</v>
      </c>
      <c r="D25">
        <v>122</v>
      </c>
      <c r="E25">
        <v>0.29397590361445802</v>
      </c>
      <c r="F25" s="6">
        <v>0.29397590361445802</v>
      </c>
    </row>
    <row r="26" spans="1:6" x14ac:dyDescent="0.25">
      <c r="A26" t="s">
        <v>24</v>
      </c>
      <c r="B26" t="s">
        <v>5</v>
      </c>
      <c r="C26" t="s">
        <v>25</v>
      </c>
      <c r="D26">
        <v>112</v>
      </c>
      <c r="E26">
        <v>0.26987951807228899</v>
      </c>
      <c r="F26" s="6">
        <v>0.26987951807228899</v>
      </c>
    </row>
    <row r="27" spans="1:6" x14ac:dyDescent="0.25">
      <c r="A27" t="s">
        <v>24</v>
      </c>
      <c r="B27" t="s">
        <v>6</v>
      </c>
      <c r="C27" t="s">
        <v>26</v>
      </c>
      <c r="D27">
        <v>52</v>
      </c>
      <c r="E27">
        <v>0.12530120481927701</v>
      </c>
      <c r="F27" s="6">
        <v>0.12530120481927701</v>
      </c>
    </row>
    <row r="28" spans="1:6" x14ac:dyDescent="0.25">
      <c r="A28" t="s">
        <v>24</v>
      </c>
      <c r="B28" t="s">
        <v>7</v>
      </c>
      <c r="C28" t="s">
        <v>27</v>
      </c>
      <c r="D28">
        <v>141</v>
      </c>
      <c r="E28">
        <v>0.33975903614457797</v>
      </c>
      <c r="F28" s="6">
        <v>0.33975903614457797</v>
      </c>
    </row>
    <row r="29" spans="1:6" x14ac:dyDescent="0.25">
      <c r="A29" t="s">
        <v>24</v>
      </c>
      <c r="B29" t="s">
        <v>12</v>
      </c>
      <c r="C29" t="s">
        <v>28</v>
      </c>
      <c r="D29">
        <v>63</v>
      </c>
      <c r="E29">
        <v>0.15180722891566301</v>
      </c>
      <c r="F29" s="6">
        <v>0.15180722891566301</v>
      </c>
    </row>
    <row r="30" spans="1:6" x14ac:dyDescent="0.25">
      <c r="A30" t="s">
        <v>24</v>
      </c>
      <c r="B30" t="s">
        <v>13</v>
      </c>
      <c r="C30" t="s">
        <v>29</v>
      </c>
      <c r="D30">
        <v>10</v>
      </c>
      <c r="E30">
        <v>2.40963855421687E-2</v>
      </c>
      <c r="F30" s="6">
        <v>2.40963855421687E-2</v>
      </c>
    </row>
    <row r="31" spans="1:6" x14ac:dyDescent="0.25">
      <c r="A31" t="s">
        <v>24</v>
      </c>
      <c r="B31" t="s">
        <v>14</v>
      </c>
      <c r="C31" t="s">
        <v>30</v>
      </c>
      <c r="D31">
        <v>37</v>
      </c>
      <c r="E31">
        <v>8.91566265060241E-2</v>
      </c>
      <c r="F31" s="6">
        <v>8.91566265060241E-2</v>
      </c>
    </row>
    <row r="32" spans="1:6" x14ac:dyDescent="0.25">
      <c r="A32" t="s">
        <v>34</v>
      </c>
      <c r="B32" t="s">
        <v>5</v>
      </c>
      <c r="C32" t="s">
        <v>35</v>
      </c>
      <c r="D32">
        <v>23</v>
      </c>
      <c r="E32">
        <v>5.54216867469879E-2</v>
      </c>
      <c r="F32" s="6">
        <v>5.54216867469879E-2</v>
      </c>
    </row>
    <row r="33" spans="1:6" x14ac:dyDescent="0.25">
      <c r="A33" t="s">
        <v>34</v>
      </c>
      <c r="B33" t="s">
        <v>6</v>
      </c>
      <c r="C33" t="s">
        <v>36</v>
      </c>
      <c r="D33">
        <v>4</v>
      </c>
      <c r="E33">
        <v>9.6385542168674707E-3</v>
      </c>
      <c r="F33" s="6">
        <v>9.6385542168674707E-3</v>
      </c>
    </row>
    <row r="34" spans="1:6" x14ac:dyDescent="0.25">
      <c r="A34" t="s">
        <v>34</v>
      </c>
      <c r="B34" t="s">
        <v>7</v>
      </c>
      <c r="C34" t="s">
        <v>37</v>
      </c>
      <c r="D34">
        <v>5</v>
      </c>
      <c r="E34">
        <v>1.20481927710843E-2</v>
      </c>
      <c r="F34" s="6">
        <v>1.20481927710843E-2</v>
      </c>
    </row>
    <row r="35" spans="1:6" x14ac:dyDescent="0.25">
      <c r="A35" t="s">
        <v>34</v>
      </c>
      <c r="B35" t="s">
        <v>12</v>
      </c>
      <c r="C35" t="s">
        <v>38</v>
      </c>
      <c r="D35">
        <v>14</v>
      </c>
      <c r="E35">
        <v>3.3734939759036103E-2</v>
      </c>
      <c r="F35" s="6">
        <v>3.3734939759036103E-2</v>
      </c>
    </row>
    <row r="36" spans="1:6" x14ac:dyDescent="0.25">
      <c r="A36" t="s">
        <v>34</v>
      </c>
      <c r="B36" t="s">
        <v>13</v>
      </c>
      <c r="C36" t="s">
        <v>39</v>
      </c>
      <c r="D36">
        <v>19</v>
      </c>
      <c r="E36">
        <v>4.57831325301205E-2</v>
      </c>
      <c r="F36" s="6">
        <v>4.57831325301205E-2</v>
      </c>
    </row>
    <row r="37" spans="1:6" x14ac:dyDescent="0.25">
      <c r="A37" t="s">
        <v>34</v>
      </c>
      <c r="B37" t="s">
        <v>14</v>
      </c>
      <c r="C37" t="s">
        <v>40</v>
      </c>
      <c r="D37">
        <v>9</v>
      </c>
      <c r="E37">
        <v>2.16867469879518E-2</v>
      </c>
      <c r="F37" s="6">
        <v>2.16867469879518E-2</v>
      </c>
    </row>
    <row r="38" spans="1:6" x14ac:dyDescent="0.25">
      <c r="A38" t="s">
        <v>34</v>
      </c>
      <c r="B38" t="s">
        <v>15</v>
      </c>
      <c r="C38" t="s">
        <v>41</v>
      </c>
      <c r="D38">
        <v>25</v>
      </c>
      <c r="E38">
        <v>6.02409638554217E-2</v>
      </c>
      <c r="F38" s="6">
        <v>6.02409638554217E-2</v>
      </c>
    </row>
    <row r="39" spans="1:6" x14ac:dyDescent="0.25">
      <c r="A39" t="s">
        <v>34</v>
      </c>
      <c r="B39" t="s">
        <v>31</v>
      </c>
      <c r="C39" t="s">
        <v>42</v>
      </c>
      <c r="D39">
        <v>16</v>
      </c>
      <c r="E39">
        <v>3.8554216867469897E-2</v>
      </c>
      <c r="F39" s="6">
        <v>3.8554216867469897E-2</v>
      </c>
    </row>
    <row r="40" spans="1:6" x14ac:dyDescent="0.25">
      <c r="A40" t="s">
        <v>34</v>
      </c>
      <c r="B40" t="s">
        <v>32</v>
      </c>
      <c r="C40" t="s">
        <v>43</v>
      </c>
      <c r="D40">
        <v>4</v>
      </c>
      <c r="E40">
        <v>9.6385542168674707E-3</v>
      </c>
      <c r="F40" s="6">
        <v>9.6385542168674707E-3</v>
      </c>
    </row>
    <row r="41" spans="1:6" x14ac:dyDescent="0.25">
      <c r="A41" t="s">
        <v>34</v>
      </c>
      <c r="B41" t="s">
        <v>33</v>
      </c>
      <c r="C41" t="s">
        <v>44</v>
      </c>
      <c r="D41">
        <v>3</v>
      </c>
      <c r="E41">
        <v>7.2289156626506E-3</v>
      </c>
      <c r="F41" s="6">
        <v>7.2289156626506E-3</v>
      </c>
    </row>
    <row r="42" spans="1:6" x14ac:dyDescent="0.25">
      <c r="A42" t="s">
        <v>34</v>
      </c>
      <c r="B42" t="s">
        <v>45</v>
      </c>
      <c r="C42" t="s">
        <v>46</v>
      </c>
      <c r="D42">
        <v>12</v>
      </c>
      <c r="E42">
        <v>2.89156626506024E-2</v>
      </c>
      <c r="F42" s="6">
        <v>2.89156626506024E-2</v>
      </c>
    </row>
    <row r="43" spans="1:6" x14ac:dyDescent="0.25">
      <c r="A43" t="s">
        <v>34</v>
      </c>
      <c r="B43" t="s">
        <v>47</v>
      </c>
      <c r="C43" t="s">
        <v>48</v>
      </c>
      <c r="D43">
        <v>14</v>
      </c>
      <c r="E43">
        <v>3.3734939759036103E-2</v>
      </c>
      <c r="F43" s="6">
        <v>3.3734939759036103E-2</v>
      </c>
    </row>
    <row r="44" spans="1:6" x14ac:dyDescent="0.25">
      <c r="A44" t="s">
        <v>34</v>
      </c>
      <c r="B44" t="s">
        <v>49</v>
      </c>
      <c r="C44" t="s">
        <v>50</v>
      </c>
      <c r="D44">
        <v>12</v>
      </c>
      <c r="E44">
        <v>2.89156626506024E-2</v>
      </c>
      <c r="F44" s="6">
        <v>2.89156626506024E-2</v>
      </c>
    </row>
    <row r="45" spans="1:6" x14ac:dyDescent="0.25">
      <c r="A45" t="s">
        <v>34</v>
      </c>
      <c r="B45" t="s">
        <v>51</v>
      </c>
      <c r="C45" t="s">
        <v>52</v>
      </c>
      <c r="D45">
        <v>1</v>
      </c>
      <c r="E45">
        <v>2.4096385542168699E-3</v>
      </c>
      <c r="F45" s="6">
        <v>2.4096385542168699E-3</v>
      </c>
    </row>
    <row r="46" spans="1:6" x14ac:dyDescent="0.25">
      <c r="A46" t="s">
        <v>34</v>
      </c>
      <c r="B46" t="s">
        <v>53</v>
      </c>
      <c r="C46" t="s">
        <v>54</v>
      </c>
      <c r="D46">
        <v>65</v>
      </c>
      <c r="E46">
        <v>0.156626506024096</v>
      </c>
      <c r="F46" s="6">
        <v>0.156626506024096</v>
      </c>
    </row>
    <row r="47" spans="1:6" x14ac:dyDescent="0.25">
      <c r="A47" t="s">
        <v>34</v>
      </c>
      <c r="B47" t="s">
        <v>133</v>
      </c>
      <c r="C47" t="s">
        <v>231</v>
      </c>
      <c r="D47">
        <v>164</v>
      </c>
      <c r="E47">
        <v>0.39518072289156603</v>
      </c>
      <c r="F47" s="6">
        <v>0.39518072289156603</v>
      </c>
    </row>
    <row r="48" spans="1:6" x14ac:dyDescent="0.25">
      <c r="A48" t="s">
        <v>34</v>
      </c>
      <c r="B48" t="s">
        <v>232</v>
      </c>
      <c r="C48" t="s">
        <v>233</v>
      </c>
      <c r="D48">
        <v>25</v>
      </c>
      <c r="E48">
        <v>6.02409638554217E-2</v>
      </c>
      <c r="F48" s="6">
        <v>6.02409638554217E-2</v>
      </c>
    </row>
    <row r="49" spans="1:6" x14ac:dyDescent="0.25">
      <c r="A49" t="s">
        <v>55</v>
      </c>
      <c r="B49" t="s">
        <v>56</v>
      </c>
      <c r="C49" t="s">
        <v>56</v>
      </c>
      <c r="D49">
        <v>331</v>
      </c>
      <c r="E49">
        <v>0.79759036144578299</v>
      </c>
      <c r="F49" s="6">
        <v>0.79759036144578299</v>
      </c>
    </row>
    <row r="50" spans="1:6" x14ac:dyDescent="0.25">
      <c r="A50" t="s">
        <v>55</v>
      </c>
      <c r="B50" t="s">
        <v>5</v>
      </c>
      <c r="C50" t="s">
        <v>5</v>
      </c>
      <c r="D50">
        <v>84</v>
      </c>
      <c r="E50">
        <v>0.20240963855421701</v>
      </c>
      <c r="F50" s="6">
        <v>0.20240963855421701</v>
      </c>
    </row>
    <row r="51" spans="1:6" x14ac:dyDescent="0.25">
      <c r="A51" t="s">
        <v>57</v>
      </c>
      <c r="B51" t="s">
        <v>56</v>
      </c>
      <c r="C51" t="s">
        <v>56</v>
      </c>
      <c r="D51">
        <v>362</v>
      </c>
      <c r="E51">
        <v>0.87228915662650597</v>
      </c>
      <c r="F51" s="6">
        <v>0.87228915662650597</v>
      </c>
    </row>
    <row r="52" spans="1:6" x14ac:dyDescent="0.25">
      <c r="A52" t="s">
        <v>57</v>
      </c>
      <c r="B52" t="s">
        <v>5</v>
      </c>
      <c r="C52" t="s">
        <v>5</v>
      </c>
      <c r="D52">
        <v>53</v>
      </c>
      <c r="E52">
        <v>0.127710843373494</v>
      </c>
      <c r="F52" s="6">
        <v>0.127710843373494</v>
      </c>
    </row>
    <row r="53" spans="1:6" x14ac:dyDescent="0.25">
      <c r="A53" t="s">
        <v>58</v>
      </c>
      <c r="B53" t="s">
        <v>56</v>
      </c>
      <c r="C53" t="s">
        <v>56</v>
      </c>
      <c r="D53">
        <v>354</v>
      </c>
      <c r="E53">
        <v>0.85301204819277099</v>
      </c>
      <c r="F53" s="6">
        <v>0.85301204819277099</v>
      </c>
    </row>
    <row r="54" spans="1:6" x14ac:dyDescent="0.25">
      <c r="A54" t="s">
        <v>58</v>
      </c>
      <c r="B54" t="s">
        <v>5</v>
      </c>
      <c r="C54" t="s">
        <v>5</v>
      </c>
      <c r="D54">
        <v>61</v>
      </c>
      <c r="E54">
        <v>0.14698795180722901</v>
      </c>
      <c r="F54" s="6">
        <v>0.14698795180722901</v>
      </c>
    </row>
    <row r="55" spans="1:6" x14ac:dyDescent="0.25">
      <c r="A55" t="s">
        <v>59</v>
      </c>
      <c r="B55" t="s">
        <v>56</v>
      </c>
      <c r="C55" t="s">
        <v>56</v>
      </c>
      <c r="D55">
        <v>335</v>
      </c>
      <c r="E55">
        <v>0.80722891566265098</v>
      </c>
      <c r="F55" s="6">
        <v>0.80722891566265098</v>
      </c>
    </row>
    <row r="56" spans="1:6" x14ac:dyDescent="0.25">
      <c r="A56" t="s">
        <v>59</v>
      </c>
      <c r="B56" t="s">
        <v>5</v>
      </c>
      <c r="C56" t="s">
        <v>5</v>
      </c>
      <c r="D56">
        <v>80</v>
      </c>
      <c r="E56">
        <v>0.19277108433734899</v>
      </c>
      <c r="F56" s="6">
        <v>0.19277108433734899</v>
      </c>
    </row>
    <row r="57" spans="1:6" x14ac:dyDescent="0.25">
      <c r="A57" t="s">
        <v>60</v>
      </c>
      <c r="B57" t="s">
        <v>56</v>
      </c>
      <c r="C57" t="s">
        <v>56</v>
      </c>
      <c r="D57">
        <v>275</v>
      </c>
      <c r="E57">
        <v>0.66265060240963902</v>
      </c>
      <c r="F57" s="6">
        <v>0.66265060240963902</v>
      </c>
    </row>
    <row r="58" spans="1:6" x14ac:dyDescent="0.25">
      <c r="A58" t="s">
        <v>60</v>
      </c>
      <c r="B58" t="s">
        <v>5</v>
      </c>
      <c r="C58" t="s">
        <v>5</v>
      </c>
      <c r="D58">
        <v>140</v>
      </c>
      <c r="E58">
        <v>0.33734939759036098</v>
      </c>
      <c r="F58" s="6">
        <v>0.33734939759036098</v>
      </c>
    </row>
    <row r="59" spans="1:6" x14ac:dyDescent="0.25">
      <c r="A59" t="s">
        <v>61</v>
      </c>
      <c r="B59" t="s">
        <v>56</v>
      </c>
      <c r="C59" t="s">
        <v>56</v>
      </c>
      <c r="D59">
        <v>349</v>
      </c>
      <c r="E59">
        <v>0.84096385542168695</v>
      </c>
      <c r="F59" s="6">
        <v>0.84096385542168695</v>
      </c>
    </row>
    <row r="60" spans="1:6" x14ac:dyDescent="0.25">
      <c r="A60" t="s">
        <v>61</v>
      </c>
      <c r="B60" t="s">
        <v>5</v>
      </c>
      <c r="C60" t="s">
        <v>5</v>
      </c>
      <c r="D60">
        <v>66</v>
      </c>
      <c r="E60">
        <v>0.159036144578313</v>
      </c>
      <c r="F60" s="6">
        <v>0.159036144578313</v>
      </c>
    </row>
    <row r="61" spans="1:6" x14ac:dyDescent="0.25">
      <c r="A61" t="s">
        <v>62</v>
      </c>
      <c r="B61" t="s">
        <v>56</v>
      </c>
      <c r="C61" t="s">
        <v>56</v>
      </c>
      <c r="D61">
        <v>350</v>
      </c>
      <c r="E61">
        <v>0.843373493975904</v>
      </c>
      <c r="F61" s="6">
        <v>0.843373493975904</v>
      </c>
    </row>
    <row r="62" spans="1:6" x14ac:dyDescent="0.25">
      <c r="A62" t="s">
        <v>62</v>
      </c>
      <c r="B62" t="s">
        <v>5</v>
      </c>
      <c r="C62" t="s">
        <v>5</v>
      </c>
      <c r="D62">
        <v>65</v>
      </c>
      <c r="E62">
        <v>0.156626506024096</v>
      </c>
      <c r="F62" s="6">
        <v>0.156626506024096</v>
      </c>
    </row>
    <row r="63" spans="1:6" x14ac:dyDescent="0.25">
      <c r="A63" t="s">
        <v>63</v>
      </c>
      <c r="B63" t="s">
        <v>56</v>
      </c>
      <c r="C63" t="s">
        <v>56</v>
      </c>
      <c r="D63">
        <v>344</v>
      </c>
      <c r="E63">
        <v>0.82891566265060201</v>
      </c>
      <c r="F63" s="6">
        <v>0.82891566265060201</v>
      </c>
    </row>
    <row r="64" spans="1:6" x14ac:dyDescent="0.25">
      <c r="A64" t="s">
        <v>63</v>
      </c>
      <c r="B64" t="s">
        <v>5</v>
      </c>
      <c r="C64" t="s">
        <v>5</v>
      </c>
      <c r="D64">
        <v>71</v>
      </c>
      <c r="E64">
        <v>0.17108433734939801</v>
      </c>
      <c r="F64" s="6">
        <v>0.17108433734939801</v>
      </c>
    </row>
    <row r="65" spans="1:6" x14ac:dyDescent="0.25">
      <c r="A65" t="s">
        <v>64</v>
      </c>
      <c r="B65" t="s">
        <v>56</v>
      </c>
      <c r="C65" t="s">
        <v>56</v>
      </c>
      <c r="D65">
        <v>382</v>
      </c>
      <c r="E65">
        <v>0.92048192771084303</v>
      </c>
      <c r="F65" s="6">
        <v>0.92048192771084303</v>
      </c>
    </row>
    <row r="66" spans="1:6" x14ac:dyDescent="0.25">
      <c r="A66" t="s">
        <v>64</v>
      </c>
      <c r="B66" t="s">
        <v>5</v>
      </c>
      <c r="C66" t="s">
        <v>5</v>
      </c>
      <c r="D66">
        <v>33</v>
      </c>
      <c r="E66">
        <v>7.9518072289156597E-2</v>
      </c>
      <c r="F66" s="6">
        <v>7.9518072289156597E-2</v>
      </c>
    </row>
    <row r="67" spans="1:6" x14ac:dyDescent="0.25">
      <c r="A67" t="s">
        <v>65</v>
      </c>
      <c r="B67" t="s">
        <v>56</v>
      </c>
      <c r="C67" t="s">
        <v>56</v>
      </c>
      <c r="D67">
        <v>392</v>
      </c>
      <c r="E67">
        <v>0.944578313253012</v>
      </c>
      <c r="F67" s="6">
        <v>0.944578313253012</v>
      </c>
    </row>
    <row r="68" spans="1:6" x14ac:dyDescent="0.25">
      <c r="A68" t="s">
        <v>65</v>
      </c>
      <c r="B68" t="s">
        <v>5</v>
      </c>
      <c r="C68" t="s">
        <v>5</v>
      </c>
      <c r="D68">
        <v>23</v>
      </c>
      <c r="E68">
        <v>5.54216867469879E-2</v>
      </c>
      <c r="F68" s="6">
        <v>5.54216867469879E-2</v>
      </c>
    </row>
    <row r="69" spans="1:6" x14ac:dyDescent="0.25">
      <c r="A69" t="s">
        <v>66</v>
      </c>
      <c r="B69" t="s">
        <v>56</v>
      </c>
      <c r="C69" t="s">
        <v>56</v>
      </c>
      <c r="D69">
        <v>338</v>
      </c>
      <c r="E69">
        <v>0.81445783132530103</v>
      </c>
      <c r="F69" s="6">
        <v>0.81445783132530103</v>
      </c>
    </row>
    <row r="70" spans="1:6" x14ac:dyDescent="0.25">
      <c r="A70" t="s">
        <v>66</v>
      </c>
      <c r="B70" t="s">
        <v>5</v>
      </c>
      <c r="C70" t="s">
        <v>5</v>
      </c>
      <c r="D70">
        <v>77</v>
      </c>
      <c r="E70">
        <v>0.185542168674699</v>
      </c>
      <c r="F70" s="6">
        <v>0.185542168674699</v>
      </c>
    </row>
    <row r="71" spans="1:6" x14ac:dyDescent="0.25">
      <c r="A71" t="s">
        <v>67</v>
      </c>
      <c r="B71" t="s">
        <v>56</v>
      </c>
      <c r="C71" t="s">
        <v>56</v>
      </c>
      <c r="D71">
        <v>242</v>
      </c>
      <c r="E71">
        <v>0.58313253012048205</v>
      </c>
      <c r="F71" s="6">
        <v>0.58313253012048205</v>
      </c>
    </row>
    <row r="72" spans="1:6" x14ac:dyDescent="0.25">
      <c r="A72" t="s">
        <v>67</v>
      </c>
      <c r="B72" t="s">
        <v>5</v>
      </c>
      <c r="C72" t="s">
        <v>5</v>
      </c>
      <c r="D72">
        <v>173</v>
      </c>
      <c r="E72">
        <v>0.416867469879518</v>
      </c>
      <c r="F72" s="6">
        <v>0.416867469879518</v>
      </c>
    </row>
    <row r="73" spans="1:6" x14ac:dyDescent="0.25">
      <c r="A73" t="s">
        <v>68</v>
      </c>
      <c r="B73" t="s">
        <v>56</v>
      </c>
      <c r="C73" t="s">
        <v>56</v>
      </c>
      <c r="D73">
        <v>333</v>
      </c>
      <c r="E73">
        <v>0.80240963855421699</v>
      </c>
      <c r="F73" s="6">
        <v>0.80240963855421699</v>
      </c>
    </row>
    <row r="74" spans="1:6" x14ac:dyDescent="0.25">
      <c r="A74" t="s">
        <v>68</v>
      </c>
      <c r="B74" t="s">
        <v>5</v>
      </c>
      <c r="C74" t="s">
        <v>5</v>
      </c>
      <c r="D74">
        <v>82</v>
      </c>
      <c r="E74">
        <v>0.19759036144578301</v>
      </c>
      <c r="F74" s="6">
        <v>0.19759036144578301</v>
      </c>
    </row>
    <row r="75" spans="1:6" x14ac:dyDescent="0.25">
      <c r="A75" t="s">
        <v>69</v>
      </c>
      <c r="B75" t="s">
        <v>56</v>
      </c>
      <c r="C75" t="s">
        <v>56</v>
      </c>
      <c r="D75">
        <v>375</v>
      </c>
      <c r="E75">
        <v>0.90361445783132499</v>
      </c>
      <c r="F75" s="6">
        <v>0.90361445783132499</v>
      </c>
    </row>
    <row r="76" spans="1:6" x14ac:dyDescent="0.25">
      <c r="A76" t="s">
        <v>69</v>
      </c>
      <c r="B76" t="s">
        <v>5</v>
      </c>
      <c r="C76" t="s">
        <v>5</v>
      </c>
      <c r="D76">
        <v>40</v>
      </c>
      <c r="E76">
        <v>9.6385542168674704E-2</v>
      </c>
      <c r="F76" s="6">
        <v>9.6385542168674704E-2</v>
      </c>
    </row>
    <row r="77" spans="1:6" x14ac:dyDescent="0.25">
      <c r="A77" t="s">
        <v>70</v>
      </c>
      <c r="B77" t="s">
        <v>56</v>
      </c>
      <c r="C77" t="s">
        <v>56</v>
      </c>
      <c r="D77">
        <v>238</v>
      </c>
      <c r="E77">
        <v>0.57349397590361495</v>
      </c>
      <c r="F77" s="6">
        <v>0.57349397590361495</v>
      </c>
    </row>
    <row r="78" spans="1:6" x14ac:dyDescent="0.25">
      <c r="A78" t="s">
        <v>70</v>
      </c>
      <c r="B78" t="s">
        <v>5</v>
      </c>
      <c r="C78" t="s">
        <v>5</v>
      </c>
      <c r="D78">
        <v>177</v>
      </c>
      <c r="E78">
        <v>0.42650602409638599</v>
      </c>
      <c r="F78" s="6">
        <v>0.42650602409638599</v>
      </c>
    </row>
    <row r="79" spans="1:6" x14ac:dyDescent="0.25">
      <c r="A79" t="s">
        <v>138</v>
      </c>
      <c r="B79" t="s">
        <v>56</v>
      </c>
      <c r="C79" t="s">
        <v>56</v>
      </c>
      <c r="D79">
        <v>245</v>
      </c>
      <c r="E79">
        <v>0.59036144578313299</v>
      </c>
      <c r="F79" s="6">
        <v>0.59036144578313299</v>
      </c>
    </row>
    <row r="80" spans="1:6" x14ac:dyDescent="0.25">
      <c r="A80" t="s">
        <v>138</v>
      </c>
      <c r="B80" t="s">
        <v>5</v>
      </c>
      <c r="C80" t="s">
        <v>5</v>
      </c>
      <c r="D80">
        <v>170</v>
      </c>
      <c r="E80">
        <v>0.40963855421686701</v>
      </c>
      <c r="F80" s="6">
        <v>0.40963855421686701</v>
      </c>
    </row>
    <row r="81" spans="1:6" x14ac:dyDescent="0.25">
      <c r="A81" t="s">
        <v>139</v>
      </c>
      <c r="B81" t="s">
        <v>56</v>
      </c>
      <c r="C81" t="s">
        <v>56</v>
      </c>
      <c r="D81">
        <v>279</v>
      </c>
      <c r="E81">
        <v>0.67228915662650601</v>
      </c>
      <c r="F81" s="6">
        <v>0.67228915662650601</v>
      </c>
    </row>
    <row r="82" spans="1:6" x14ac:dyDescent="0.25">
      <c r="A82" t="s">
        <v>139</v>
      </c>
      <c r="B82" t="s">
        <v>5</v>
      </c>
      <c r="C82" t="s">
        <v>5</v>
      </c>
      <c r="D82">
        <v>136</v>
      </c>
      <c r="E82">
        <v>0.32771084337349399</v>
      </c>
      <c r="F82" s="6">
        <v>0.32771084337349399</v>
      </c>
    </row>
    <row r="83" spans="1:6" x14ac:dyDescent="0.25">
      <c r="A83" t="s">
        <v>140</v>
      </c>
      <c r="B83" t="s">
        <v>56</v>
      </c>
      <c r="C83" t="s">
        <v>56</v>
      </c>
      <c r="D83">
        <v>223</v>
      </c>
      <c r="E83">
        <v>0.53734939759036104</v>
      </c>
      <c r="F83" s="6">
        <v>0.53734939759036104</v>
      </c>
    </row>
    <row r="84" spans="1:6" x14ac:dyDescent="0.25">
      <c r="A84" t="s">
        <v>140</v>
      </c>
      <c r="B84" t="s">
        <v>5</v>
      </c>
      <c r="C84" t="s">
        <v>5</v>
      </c>
      <c r="D84">
        <v>192</v>
      </c>
      <c r="E84">
        <v>0.46265060240963901</v>
      </c>
      <c r="F84" s="6">
        <v>0.46265060240963901</v>
      </c>
    </row>
    <row r="85" spans="1:6" x14ac:dyDescent="0.25">
      <c r="A85" t="s">
        <v>141</v>
      </c>
      <c r="B85" t="s">
        <v>56</v>
      </c>
      <c r="C85" t="s">
        <v>56</v>
      </c>
      <c r="D85">
        <v>382</v>
      </c>
      <c r="E85">
        <v>0.92048192771084303</v>
      </c>
      <c r="F85" s="6">
        <v>0.92048192771084303</v>
      </c>
    </row>
    <row r="86" spans="1:6" x14ac:dyDescent="0.25">
      <c r="A86" t="s">
        <v>141</v>
      </c>
      <c r="B86" t="s">
        <v>5</v>
      </c>
      <c r="C86" t="s">
        <v>5</v>
      </c>
      <c r="D86">
        <v>33</v>
      </c>
      <c r="E86">
        <v>7.9518072289156597E-2</v>
      </c>
      <c r="F86" s="6">
        <v>7.9518072289156597E-2</v>
      </c>
    </row>
    <row r="87" spans="1:6" x14ac:dyDescent="0.25">
      <c r="A87" t="s">
        <v>142</v>
      </c>
      <c r="B87" t="s">
        <v>56</v>
      </c>
      <c r="C87" t="s">
        <v>56</v>
      </c>
      <c r="D87">
        <v>365</v>
      </c>
      <c r="E87">
        <v>0.87951807228915702</v>
      </c>
      <c r="F87" s="6">
        <v>0.87951807228915702</v>
      </c>
    </row>
    <row r="88" spans="1:6" x14ac:dyDescent="0.25">
      <c r="A88" t="s">
        <v>142</v>
      </c>
      <c r="B88" t="s">
        <v>5</v>
      </c>
      <c r="C88" t="s">
        <v>5</v>
      </c>
      <c r="D88">
        <v>50</v>
      </c>
      <c r="E88">
        <v>0.120481927710843</v>
      </c>
      <c r="F88" s="6">
        <v>0.120481927710843</v>
      </c>
    </row>
    <row r="89" spans="1:6" x14ac:dyDescent="0.25">
      <c r="A89" t="s">
        <v>143</v>
      </c>
      <c r="B89" t="s">
        <v>56</v>
      </c>
      <c r="C89" t="s">
        <v>56</v>
      </c>
      <c r="D89">
        <v>278</v>
      </c>
      <c r="E89">
        <v>0.66987951807228896</v>
      </c>
      <c r="F89" s="6">
        <v>0.66987951807228896</v>
      </c>
    </row>
    <row r="90" spans="1:6" x14ac:dyDescent="0.25">
      <c r="A90" t="s">
        <v>143</v>
      </c>
      <c r="B90" t="s">
        <v>5</v>
      </c>
      <c r="C90" t="s">
        <v>5</v>
      </c>
      <c r="D90">
        <v>137</v>
      </c>
      <c r="E90">
        <v>0.33012048192771098</v>
      </c>
      <c r="F90" s="6">
        <v>0.33012048192771098</v>
      </c>
    </row>
    <row r="91" spans="1:6" x14ac:dyDescent="0.25">
      <c r="A91" t="s">
        <v>144</v>
      </c>
      <c r="B91" t="s">
        <v>56</v>
      </c>
      <c r="C91" t="s">
        <v>56</v>
      </c>
      <c r="D91">
        <v>383</v>
      </c>
      <c r="E91">
        <v>0.92289156626505997</v>
      </c>
      <c r="F91" s="6">
        <v>0.92289156626505997</v>
      </c>
    </row>
    <row r="92" spans="1:6" x14ac:dyDescent="0.25">
      <c r="A92" t="s">
        <v>144</v>
      </c>
      <c r="B92" t="s">
        <v>5</v>
      </c>
      <c r="C92" t="s">
        <v>5</v>
      </c>
      <c r="D92">
        <v>32</v>
      </c>
      <c r="E92">
        <v>7.7108433734939794E-2</v>
      </c>
      <c r="F92" s="6">
        <v>7.7108433734939794E-2</v>
      </c>
    </row>
    <row r="93" spans="1:6" x14ac:dyDescent="0.25">
      <c r="A93" t="s">
        <v>145</v>
      </c>
      <c r="B93" t="s">
        <v>56</v>
      </c>
      <c r="C93" t="s">
        <v>56</v>
      </c>
      <c r="D93">
        <v>345</v>
      </c>
      <c r="E93">
        <v>0.83132530120481896</v>
      </c>
      <c r="F93" s="6">
        <v>0.83132530120481896</v>
      </c>
    </row>
    <row r="94" spans="1:6" x14ac:dyDescent="0.25">
      <c r="A94" t="s">
        <v>145</v>
      </c>
      <c r="B94" t="s">
        <v>5</v>
      </c>
      <c r="C94" t="s">
        <v>5</v>
      </c>
      <c r="D94">
        <v>70</v>
      </c>
      <c r="E94">
        <v>0.16867469879518099</v>
      </c>
      <c r="F94" s="6">
        <v>0.16867469879518099</v>
      </c>
    </row>
    <row r="95" spans="1:6" x14ac:dyDescent="0.25">
      <c r="A95" t="s">
        <v>146</v>
      </c>
      <c r="B95" t="s">
        <v>56</v>
      </c>
      <c r="C95" t="s">
        <v>56</v>
      </c>
      <c r="D95">
        <v>384</v>
      </c>
      <c r="E95">
        <v>0.92530120481927702</v>
      </c>
      <c r="F95" s="6">
        <v>0.92530120481927702</v>
      </c>
    </row>
    <row r="96" spans="1:6" x14ac:dyDescent="0.25">
      <c r="A96" t="s">
        <v>146</v>
      </c>
      <c r="B96" t="s">
        <v>5</v>
      </c>
      <c r="C96" t="s">
        <v>5</v>
      </c>
      <c r="D96">
        <v>31</v>
      </c>
      <c r="E96">
        <v>7.4698795180722893E-2</v>
      </c>
      <c r="F96" s="6">
        <v>7.4698795180722893E-2</v>
      </c>
    </row>
    <row r="97" spans="1:6" x14ac:dyDescent="0.25">
      <c r="A97" t="s">
        <v>147</v>
      </c>
      <c r="B97" t="s">
        <v>56</v>
      </c>
      <c r="C97" t="s">
        <v>56</v>
      </c>
      <c r="D97">
        <v>376</v>
      </c>
      <c r="E97">
        <v>0.90602409638554204</v>
      </c>
      <c r="F97" s="6">
        <v>0.90602409638554204</v>
      </c>
    </row>
    <row r="98" spans="1:6" x14ac:dyDescent="0.25">
      <c r="A98" t="s">
        <v>147</v>
      </c>
      <c r="B98" t="s">
        <v>5</v>
      </c>
      <c r="C98" t="s">
        <v>5</v>
      </c>
      <c r="D98">
        <v>39</v>
      </c>
      <c r="E98">
        <v>9.3975903614457804E-2</v>
      </c>
      <c r="F98" s="6">
        <v>9.3975903614457804E-2</v>
      </c>
    </row>
    <row r="99" spans="1:6" x14ac:dyDescent="0.25">
      <c r="A99" t="s">
        <v>148</v>
      </c>
      <c r="B99" t="s">
        <v>56</v>
      </c>
      <c r="C99" t="s">
        <v>56</v>
      </c>
      <c r="D99">
        <v>295</v>
      </c>
      <c r="E99">
        <v>0.71084337349397597</v>
      </c>
      <c r="F99" s="6">
        <v>0.71084337349397597</v>
      </c>
    </row>
    <row r="100" spans="1:6" x14ac:dyDescent="0.25">
      <c r="A100" t="s">
        <v>148</v>
      </c>
      <c r="B100" t="s">
        <v>5</v>
      </c>
      <c r="C100" t="s">
        <v>5</v>
      </c>
      <c r="D100">
        <v>120</v>
      </c>
      <c r="E100">
        <v>0.28915662650602397</v>
      </c>
      <c r="F100" s="6">
        <v>0.28915662650602397</v>
      </c>
    </row>
    <row r="101" spans="1:6" x14ac:dyDescent="0.25">
      <c r="A101" t="s">
        <v>149</v>
      </c>
      <c r="B101" t="s">
        <v>56</v>
      </c>
      <c r="C101" t="s">
        <v>56</v>
      </c>
      <c r="D101">
        <v>395</v>
      </c>
      <c r="E101">
        <v>0.95180722891566305</v>
      </c>
      <c r="F101" s="6">
        <v>0.95180722891566305</v>
      </c>
    </row>
    <row r="102" spans="1:6" x14ac:dyDescent="0.25">
      <c r="A102" t="s">
        <v>149</v>
      </c>
      <c r="B102" t="s">
        <v>5</v>
      </c>
      <c r="C102" t="s">
        <v>5</v>
      </c>
      <c r="D102">
        <v>20</v>
      </c>
      <c r="E102">
        <v>4.81927710843374E-2</v>
      </c>
      <c r="F102" s="6">
        <v>4.81927710843374E-2</v>
      </c>
    </row>
    <row r="103" spans="1:6" x14ac:dyDescent="0.25">
      <c r="A103" t="s">
        <v>150</v>
      </c>
      <c r="B103" t="s">
        <v>56</v>
      </c>
      <c r="C103" t="s">
        <v>56</v>
      </c>
      <c r="D103">
        <v>382</v>
      </c>
      <c r="E103">
        <v>0.92048192771084303</v>
      </c>
      <c r="F103" s="6">
        <v>0.92048192771084303</v>
      </c>
    </row>
    <row r="104" spans="1:6" x14ac:dyDescent="0.25">
      <c r="A104" t="s">
        <v>150</v>
      </c>
      <c r="B104" t="s">
        <v>5</v>
      </c>
      <c r="C104" t="s">
        <v>5</v>
      </c>
      <c r="D104">
        <v>33</v>
      </c>
      <c r="E104">
        <v>7.9518072289156597E-2</v>
      </c>
      <c r="F104" s="6">
        <v>7.9518072289156597E-2</v>
      </c>
    </row>
    <row r="105" spans="1:6" x14ac:dyDescent="0.25">
      <c r="A105" t="s">
        <v>151</v>
      </c>
      <c r="B105" t="s">
        <v>56</v>
      </c>
      <c r="C105" t="s">
        <v>56</v>
      </c>
      <c r="D105">
        <v>384</v>
      </c>
      <c r="E105">
        <v>0.92530120481927702</v>
      </c>
      <c r="F105" s="6">
        <v>0.92530120481927702</v>
      </c>
    </row>
    <row r="106" spans="1:6" x14ac:dyDescent="0.25">
      <c r="A106" t="s">
        <v>151</v>
      </c>
      <c r="B106" t="s">
        <v>5</v>
      </c>
      <c r="C106" t="s">
        <v>5</v>
      </c>
      <c r="D106">
        <v>31</v>
      </c>
      <c r="E106">
        <v>7.4698795180722893E-2</v>
      </c>
      <c r="F106" s="6">
        <v>7.4698795180722893E-2</v>
      </c>
    </row>
    <row r="107" spans="1:6" x14ac:dyDescent="0.25">
      <c r="A107" t="s">
        <v>152</v>
      </c>
      <c r="B107" t="s">
        <v>56</v>
      </c>
      <c r="C107" t="s">
        <v>56</v>
      </c>
      <c r="D107">
        <v>395</v>
      </c>
      <c r="E107">
        <v>0.95180722891566305</v>
      </c>
      <c r="F107" s="6">
        <v>0.95180722891566305</v>
      </c>
    </row>
    <row r="108" spans="1:6" x14ac:dyDescent="0.25">
      <c r="A108" t="s">
        <v>152</v>
      </c>
      <c r="B108" t="s">
        <v>5</v>
      </c>
      <c r="C108" t="s">
        <v>5</v>
      </c>
      <c r="D108">
        <v>20</v>
      </c>
      <c r="E108">
        <v>4.81927710843374E-2</v>
      </c>
      <c r="F108" s="6">
        <v>4.81927710843374E-2</v>
      </c>
    </row>
    <row r="109" spans="1:6" x14ac:dyDescent="0.25">
      <c r="A109" t="s">
        <v>153</v>
      </c>
      <c r="B109" t="s">
        <v>56</v>
      </c>
      <c r="C109" t="s">
        <v>56</v>
      </c>
      <c r="D109">
        <v>377</v>
      </c>
      <c r="E109">
        <v>0.90843373493975899</v>
      </c>
      <c r="F109" s="6">
        <v>0.90843373493975899</v>
      </c>
    </row>
    <row r="110" spans="1:6" x14ac:dyDescent="0.25">
      <c r="A110" t="s">
        <v>153</v>
      </c>
      <c r="B110" t="s">
        <v>5</v>
      </c>
      <c r="C110" t="s">
        <v>5</v>
      </c>
      <c r="D110">
        <v>38</v>
      </c>
      <c r="E110">
        <v>9.1566265060241001E-2</v>
      </c>
      <c r="F110" s="6">
        <v>9.1566265060241001E-2</v>
      </c>
    </row>
    <row r="111" spans="1:6" x14ac:dyDescent="0.25">
      <c r="A111" t="s">
        <v>154</v>
      </c>
      <c r="B111" t="s">
        <v>56</v>
      </c>
      <c r="C111" t="s">
        <v>56</v>
      </c>
      <c r="D111">
        <v>399</v>
      </c>
      <c r="E111">
        <v>0.96144578313253004</v>
      </c>
      <c r="F111" s="6">
        <v>0.96144578313253004</v>
      </c>
    </row>
    <row r="112" spans="1:6" x14ac:dyDescent="0.25">
      <c r="A112" t="s">
        <v>154</v>
      </c>
      <c r="B112" t="s">
        <v>5</v>
      </c>
      <c r="C112" t="s">
        <v>5</v>
      </c>
      <c r="D112">
        <v>16</v>
      </c>
      <c r="E112">
        <v>3.8554216867469897E-2</v>
      </c>
      <c r="F112" s="6">
        <v>3.8554216867469897E-2</v>
      </c>
    </row>
    <row r="113" spans="1:6" x14ac:dyDescent="0.25">
      <c r="A113" t="s">
        <v>155</v>
      </c>
      <c r="B113" t="s">
        <v>56</v>
      </c>
      <c r="C113" t="s">
        <v>56</v>
      </c>
      <c r="D113">
        <v>398</v>
      </c>
      <c r="E113">
        <v>0.95903614457831299</v>
      </c>
      <c r="F113" s="6">
        <v>0.95903614457831299</v>
      </c>
    </row>
    <row r="114" spans="1:6" x14ac:dyDescent="0.25">
      <c r="A114" t="s">
        <v>155</v>
      </c>
      <c r="B114" t="s">
        <v>5</v>
      </c>
      <c r="C114" t="s">
        <v>5</v>
      </c>
      <c r="D114">
        <v>17</v>
      </c>
      <c r="E114">
        <v>4.09638554216867E-2</v>
      </c>
      <c r="F114" s="6">
        <v>4.09638554216867E-2</v>
      </c>
    </row>
    <row r="115" spans="1:6" x14ac:dyDescent="0.25">
      <c r="A115" t="s">
        <v>156</v>
      </c>
      <c r="B115" t="s">
        <v>56</v>
      </c>
      <c r="C115" t="s">
        <v>56</v>
      </c>
      <c r="D115">
        <v>388</v>
      </c>
      <c r="E115">
        <v>0.93493975903614501</v>
      </c>
      <c r="F115" s="6">
        <v>0.93493975903614501</v>
      </c>
    </row>
    <row r="116" spans="1:6" x14ac:dyDescent="0.25">
      <c r="A116" t="s">
        <v>156</v>
      </c>
      <c r="B116" t="s">
        <v>5</v>
      </c>
      <c r="C116" t="s">
        <v>5</v>
      </c>
      <c r="D116">
        <v>27</v>
      </c>
      <c r="E116">
        <v>6.5060240963855404E-2</v>
      </c>
      <c r="F116" s="6">
        <v>6.5060240963855404E-2</v>
      </c>
    </row>
    <row r="117" spans="1:6" x14ac:dyDescent="0.25">
      <c r="A117" t="s">
        <v>157</v>
      </c>
      <c r="B117" t="s">
        <v>56</v>
      </c>
      <c r="C117" t="s">
        <v>56</v>
      </c>
      <c r="D117">
        <v>385</v>
      </c>
      <c r="E117">
        <v>0.92771084337349397</v>
      </c>
      <c r="F117" s="6">
        <v>0.92771084337349397</v>
      </c>
    </row>
    <row r="118" spans="1:6" x14ac:dyDescent="0.25">
      <c r="A118" t="s">
        <v>157</v>
      </c>
      <c r="B118" t="s">
        <v>5</v>
      </c>
      <c r="C118" t="s">
        <v>5</v>
      </c>
      <c r="D118">
        <v>30</v>
      </c>
      <c r="E118">
        <v>7.2289156626505993E-2</v>
      </c>
      <c r="F118" s="6">
        <v>7.2289156626505993E-2</v>
      </c>
    </row>
    <row r="119" spans="1:6" x14ac:dyDescent="0.25">
      <c r="A119" t="s">
        <v>71</v>
      </c>
      <c r="B119" t="s">
        <v>5</v>
      </c>
      <c r="C119" t="s">
        <v>72</v>
      </c>
      <c r="D119">
        <v>51</v>
      </c>
      <c r="E119">
        <v>0.12289156626506</v>
      </c>
      <c r="F119" s="6">
        <v>0.12289156626506</v>
      </c>
    </row>
    <row r="120" spans="1:6" x14ac:dyDescent="0.25">
      <c r="A120" t="s">
        <v>71</v>
      </c>
      <c r="B120" t="s">
        <v>6</v>
      </c>
      <c r="C120" t="s">
        <v>73</v>
      </c>
      <c r="D120">
        <v>136</v>
      </c>
      <c r="E120">
        <v>0.32771084337349399</v>
      </c>
      <c r="F120" s="6">
        <v>0.32771084337349399</v>
      </c>
    </row>
    <row r="121" spans="1:6" x14ac:dyDescent="0.25">
      <c r="A121" t="s">
        <v>71</v>
      </c>
      <c r="B121" t="s">
        <v>7</v>
      </c>
      <c r="C121" t="s">
        <v>74</v>
      </c>
      <c r="D121">
        <v>65</v>
      </c>
      <c r="E121">
        <v>0.156626506024096</v>
      </c>
      <c r="F121" s="6">
        <v>0.156626506024096</v>
      </c>
    </row>
    <row r="122" spans="1:6" x14ac:dyDescent="0.25">
      <c r="A122" t="s">
        <v>71</v>
      </c>
      <c r="B122" t="s">
        <v>12</v>
      </c>
      <c r="C122" t="s">
        <v>75</v>
      </c>
      <c r="D122">
        <v>54</v>
      </c>
      <c r="E122">
        <v>0.130120481927711</v>
      </c>
      <c r="F122" s="6">
        <v>0.130120481927711</v>
      </c>
    </row>
    <row r="123" spans="1:6" x14ac:dyDescent="0.25">
      <c r="A123" t="s">
        <v>71</v>
      </c>
      <c r="B123" t="s">
        <v>13</v>
      </c>
      <c r="C123" t="s">
        <v>76</v>
      </c>
      <c r="D123">
        <v>15</v>
      </c>
      <c r="E123">
        <v>3.6144578313252997E-2</v>
      </c>
      <c r="F123" s="6">
        <v>3.6144578313252997E-2</v>
      </c>
    </row>
    <row r="124" spans="1:6" x14ac:dyDescent="0.25">
      <c r="A124" t="s">
        <v>71</v>
      </c>
      <c r="B124" t="s">
        <v>14</v>
      </c>
      <c r="C124" t="s">
        <v>77</v>
      </c>
      <c r="D124">
        <v>30</v>
      </c>
      <c r="E124">
        <v>7.2289156626505993E-2</v>
      </c>
      <c r="F124" s="6">
        <v>7.2289156626505993E-2</v>
      </c>
    </row>
    <row r="125" spans="1:6" x14ac:dyDescent="0.25">
      <c r="A125" t="s">
        <v>71</v>
      </c>
      <c r="B125" t="s">
        <v>15</v>
      </c>
      <c r="C125" t="s">
        <v>78</v>
      </c>
      <c r="D125">
        <v>25</v>
      </c>
      <c r="E125">
        <v>6.02409638554217E-2</v>
      </c>
      <c r="F125" s="6">
        <v>6.02409638554217E-2</v>
      </c>
    </row>
    <row r="126" spans="1:6" x14ac:dyDescent="0.25">
      <c r="A126" t="s">
        <v>71</v>
      </c>
      <c r="B126" t="s">
        <v>31</v>
      </c>
      <c r="C126" t="s">
        <v>79</v>
      </c>
      <c r="D126">
        <v>14</v>
      </c>
      <c r="E126">
        <v>3.3734939759036103E-2</v>
      </c>
      <c r="F126" s="6">
        <v>3.3734939759036103E-2</v>
      </c>
    </row>
    <row r="127" spans="1:6" x14ac:dyDescent="0.25">
      <c r="A127" t="s">
        <v>71</v>
      </c>
      <c r="B127" t="s">
        <v>32</v>
      </c>
      <c r="C127" t="s">
        <v>80</v>
      </c>
      <c r="D127">
        <v>25</v>
      </c>
      <c r="E127">
        <v>6.02409638554217E-2</v>
      </c>
      <c r="F127" s="6">
        <v>6.02409638554217E-2</v>
      </c>
    </row>
    <row r="128" spans="1:6" x14ac:dyDescent="0.25">
      <c r="A128" t="s">
        <v>81</v>
      </c>
      <c r="B128" t="s">
        <v>56</v>
      </c>
      <c r="C128" t="s">
        <v>56</v>
      </c>
      <c r="D128">
        <v>235</v>
      </c>
      <c r="E128">
        <v>0.56626506024096401</v>
      </c>
      <c r="F128" s="6">
        <v>0.56626506024096401</v>
      </c>
    </row>
    <row r="129" spans="1:6" x14ac:dyDescent="0.25">
      <c r="A129" t="s">
        <v>81</v>
      </c>
      <c r="B129" t="s">
        <v>5</v>
      </c>
      <c r="C129" t="s">
        <v>5</v>
      </c>
      <c r="D129">
        <v>180</v>
      </c>
      <c r="E129">
        <v>0.43373493975903599</v>
      </c>
      <c r="F129" s="6">
        <v>0.43373493975903599</v>
      </c>
    </row>
    <row r="130" spans="1:6" x14ac:dyDescent="0.25">
      <c r="A130" t="s">
        <v>82</v>
      </c>
      <c r="B130" t="s">
        <v>56</v>
      </c>
      <c r="C130" t="s">
        <v>56</v>
      </c>
      <c r="D130">
        <v>326</v>
      </c>
      <c r="E130">
        <v>0.78554216867469895</v>
      </c>
      <c r="F130" s="6">
        <v>0.78554216867469895</v>
      </c>
    </row>
    <row r="131" spans="1:6" x14ac:dyDescent="0.25">
      <c r="A131" t="s">
        <v>82</v>
      </c>
      <c r="B131" t="s">
        <v>5</v>
      </c>
      <c r="C131" t="s">
        <v>5</v>
      </c>
      <c r="D131">
        <v>89</v>
      </c>
      <c r="E131">
        <v>0.214457831325301</v>
      </c>
      <c r="F131" s="6">
        <v>0.214457831325301</v>
      </c>
    </row>
    <row r="132" spans="1:6" x14ac:dyDescent="0.25">
      <c r="A132" t="s">
        <v>83</v>
      </c>
      <c r="B132" t="s">
        <v>56</v>
      </c>
      <c r="C132" t="s">
        <v>56</v>
      </c>
      <c r="D132">
        <v>327</v>
      </c>
      <c r="E132">
        <v>0.787951807228916</v>
      </c>
      <c r="F132" s="6">
        <v>0.787951807228916</v>
      </c>
    </row>
    <row r="133" spans="1:6" x14ac:dyDescent="0.25">
      <c r="A133" t="s">
        <v>83</v>
      </c>
      <c r="B133" t="s">
        <v>5</v>
      </c>
      <c r="C133" t="s">
        <v>5</v>
      </c>
      <c r="D133">
        <v>88</v>
      </c>
      <c r="E133">
        <v>0.212048192771084</v>
      </c>
      <c r="F133" s="6">
        <v>0.212048192771084</v>
      </c>
    </row>
    <row r="134" spans="1:6" x14ac:dyDescent="0.25">
      <c r="A134" t="s">
        <v>84</v>
      </c>
      <c r="B134" t="s">
        <v>56</v>
      </c>
      <c r="C134" t="s">
        <v>56</v>
      </c>
      <c r="D134">
        <v>343</v>
      </c>
      <c r="E134">
        <v>0.82650602409638596</v>
      </c>
      <c r="F134" s="6">
        <v>0.82650602409638596</v>
      </c>
    </row>
    <row r="135" spans="1:6" x14ac:dyDescent="0.25">
      <c r="A135" t="s">
        <v>84</v>
      </c>
      <c r="B135" t="s">
        <v>5</v>
      </c>
      <c r="C135" t="s">
        <v>5</v>
      </c>
      <c r="D135">
        <v>72</v>
      </c>
      <c r="E135">
        <v>0.17349397590361401</v>
      </c>
      <c r="F135" s="6">
        <v>0.17349397590361401</v>
      </c>
    </row>
    <row r="136" spans="1:6" x14ac:dyDescent="0.25">
      <c r="A136" t="s">
        <v>85</v>
      </c>
      <c r="B136" t="s">
        <v>56</v>
      </c>
      <c r="C136" t="s">
        <v>56</v>
      </c>
      <c r="D136">
        <v>263</v>
      </c>
      <c r="E136">
        <v>0.63373493975903605</v>
      </c>
      <c r="F136" s="6">
        <v>0.63373493975903605</v>
      </c>
    </row>
    <row r="137" spans="1:6" x14ac:dyDescent="0.25">
      <c r="A137" t="s">
        <v>85</v>
      </c>
      <c r="B137" t="s">
        <v>5</v>
      </c>
      <c r="C137" t="s">
        <v>5</v>
      </c>
      <c r="D137">
        <v>152</v>
      </c>
      <c r="E137">
        <v>0.366265060240964</v>
      </c>
      <c r="F137" s="6">
        <v>0.366265060240964</v>
      </c>
    </row>
    <row r="138" spans="1:6" x14ac:dyDescent="0.25">
      <c r="A138" t="s">
        <v>86</v>
      </c>
      <c r="B138" t="s">
        <v>56</v>
      </c>
      <c r="C138" t="s">
        <v>56</v>
      </c>
      <c r="D138">
        <v>409</v>
      </c>
      <c r="E138">
        <v>0.98554216867469902</v>
      </c>
      <c r="F138" s="6">
        <v>0.98554216867469902</v>
      </c>
    </row>
    <row r="139" spans="1:6" x14ac:dyDescent="0.25">
      <c r="A139" t="s">
        <v>86</v>
      </c>
      <c r="B139" t="s">
        <v>5</v>
      </c>
      <c r="C139" t="s">
        <v>5</v>
      </c>
      <c r="D139">
        <v>6</v>
      </c>
      <c r="E139">
        <v>1.44578313253012E-2</v>
      </c>
      <c r="F139" s="6">
        <v>1.44578313253012E-2</v>
      </c>
    </row>
    <row r="140" spans="1:6" x14ac:dyDescent="0.25">
      <c r="A140" t="s">
        <v>87</v>
      </c>
      <c r="B140" t="s">
        <v>56</v>
      </c>
      <c r="C140" t="s">
        <v>56</v>
      </c>
      <c r="D140">
        <v>307</v>
      </c>
      <c r="E140">
        <v>0.73975903614457805</v>
      </c>
      <c r="F140" s="6">
        <v>0.73975903614457805</v>
      </c>
    </row>
    <row r="141" spans="1:6" x14ac:dyDescent="0.25">
      <c r="A141" t="s">
        <v>87</v>
      </c>
      <c r="B141" t="s">
        <v>5</v>
      </c>
      <c r="C141" t="s">
        <v>5</v>
      </c>
      <c r="D141">
        <v>108</v>
      </c>
      <c r="E141">
        <v>0.260240963855422</v>
      </c>
      <c r="F141" s="6">
        <v>0.260240963855422</v>
      </c>
    </row>
    <row r="142" spans="1:6" x14ac:dyDescent="0.25">
      <c r="A142" t="s">
        <v>88</v>
      </c>
      <c r="B142" t="s">
        <v>56</v>
      </c>
      <c r="C142" t="s">
        <v>56</v>
      </c>
      <c r="D142">
        <v>328</v>
      </c>
      <c r="E142">
        <v>0.79036144578313205</v>
      </c>
      <c r="F142" s="6">
        <v>0.79036144578313205</v>
      </c>
    </row>
    <row r="143" spans="1:6" x14ac:dyDescent="0.25">
      <c r="A143" t="s">
        <v>88</v>
      </c>
      <c r="B143" t="s">
        <v>5</v>
      </c>
      <c r="C143" t="s">
        <v>5</v>
      </c>
      <c r="D143">
        <v>87</v>
      </c>
      <c r="E143">
        <v>0.209638554216867</v>
      </c>
      <c r="F143" s="6">
        <v>0.209638554216867</v>
      </c>
    </row>
    <row r="144" spans="1:6" x14ac:dyDescent="0.25">
      <c r="A144" t="s">
        <v>89</v>
      </c>
      <c r="B144" t="s">
        <v>56</v>
      </c>
      <c r="C144" t="s">
        <v>56</v>
      </c>
      <c r="D144">
        <v>400</v>
      </c>
      <c r="E144">
        <v>0.96385542168674698</v>
      </c>
      <c r="F144" s="6">
        <v>0.96385542168674698</v>
      </c>
    </row>
    <row r="145" spans="1:6" x14ac:dyDescent="0.25">
      <c r="A145" t="s">
        <v>89</v>
      </c>
      <c r="B145" t="s">
        <v>5</v>
      </c>
      <c r="C145" t="s">
        <v>5</v>
      </c>
      <c r="D145">
        <v>15</v>
      </c>
      <c r="E145">
        <v>3.6144578313252997E-2</v>
      </c>
      <c r="F145" s="6">
        <v>3.6144578313252997E-2</v>
      </c>
    </row>
    <row r="146" spans="1:6" x14ac:dyDescent="0.25">
      <c r="A146" t="s">
        <v>90</v>
      </c>
      <c r="B146" t="s">
        <v>56</v>
      </c>
      <c r="C146" t="s">
        <v>56</v>
      </c>
      <c r="D146">
        <v>358</v>
      </c>
      <c r="E146">
        <v>0.86265060240963898</v>
      </c>
      <c r="F146" s="6">
        <v>0.86265060240963898</v>
      </c>
    </row>
    <row r="147" spans="1:6" x14ac:dyDescent="0.25">
      <c r="A147" t="s">
        <v>90</v>
      </c>
      <c r="B147" t="s">
        <v>5</v>
      </c>
      <c r="C147" t="s">
        <v>5</v>
      </c>
      <c r="D147">
        <v>57</v>
      </c>
      <c r="E147">
        <v>0.13734939759036099</v>
      </c>
      <c r="F147" s="6">
        <v>0.13734939759036099</v>
      </c>
    </row>
    <row r="148" spans="1:6" x14ac:dyDescent="0.25">
      <c r="A148" t="s">
        <v>91</v>
      </c>
      <c r="B148" t="s">
        <v>56</v>
      </c>
      <c r="C148" t="s">
        <v>56</v>
      </c>
      <c r="D148">
        <v>282</v>
      </c>
      <c r="E148">
        <v>0.67951807228915695</v>
      </c>
      <c r="F148" s="6">
        <v>0.67951807228915695</v>
      </c>
    </row>
    <row r="149" spans="1:6" x14ac:dyDescent="0.25">
      <c r="A149" t="s">
        <v>91</v>
      </c>
      <c r="B149" t="s">
        <v>5</v>
      </c>
      <c r="C149" t="s">
        <v>5</v>
      </c>
      <c r="D149">
        <v>133</v>
      </c>
      <c r="E149">
        <v>0.320481927710843</v>
      </c>
      <c r="F149" s="6">
        <v>0.320481927710843</v>
      </c>
    </row>
    <row r="150" spans="1:6" x14ac:dyDescent="0.25">
      <c r="A150" t="s">
        <v>92</v>
      </c>
      <c r="B150" t="s">
        <v>56</v>
      </c>
      <c r="C150" t="s">
        <v>56</v>
      </c>
      <c r="D150">
        <v>337</v>
      </c>
      <c r="E150">
        <v>0.81204819277108398</v>
      </c>
      <c r="F150" s="6">
        <v>0.81204819277108398</v>
      </c>
    </row>
    <row r="151" spans="1:6" x14ac:dyDescent="0.25">
      <c r="A151" t="s">
        <v>92</v>
      </c>
      <c r="B151" t="s">
        <v>5</v>
      </c>
      <c r="C151" t="s">
        <v>5</v>
      </c>
      <c r="D151">
        <v>78</v>
      </c>
      <c r="E151">
        <v>0.187951807228916</v>
      </c>
      <c r="F151" s="6">
        <v>0.187951807228916</v>
      </c>
    </row>
    <row r="152" spans="1:6" x14ac:dyDescent="0.25">
      <c r="A152" t="s">
        <v>93</v>
      </c>
      <c r="B152" t="s">
        <v>56</v>
      </c>
      <c r="C152" t="s">
        <v>56</v>
      </c>
      <c r="D152">
        <v>411</v>
      </c>
      <c r="E152">
        <v>0.99036144578313301</v>
      </c>
      <c r="F152" s="6">
        <v>0.99036144578313301</v>
      </c>
    </row>
    <row r="153" spans="1:6" x14ac:dyDescent="0.25">
      <c r="A153" t="s">
        <v>93</v>
      </c>
      <c r="B153" t="s">
        <v>5</v>
      </c>
      <c r="C153" t="s">
        <v>5</v>
      </c>
      <c r="D153">
        <v>4</v>
      </c>
      <c r="E153">
        <v>9.6385542168674707E-3</v>
      </c>
      <c r="F153" s="6">
        <v>9.6385542168674707E-3</v>
      </c>
    </row>
    <row r="154" spans="1:6" x14ac:dyDescent="0.25">
      <c r="A154" t="s">
        <v>94</v>
      </c>
      <c r="B154" t="s">
        <v>56</v>
      </c>
      <c r="C154" t="s">
        <v>56</v>
      </c>
      <c r="D154">
        <v>357</v>
      </c>
      <c r="E154">
        <v>0.86024096385542204</v>
      </c>
      <c r="F154" s="6">
        <v>0.86024096385542204</v>
      </c>
    </row>
    <row r="155" spans="1:6" x14ac:dyDescent="0.25">
      <c r="A155" t="s">
        <v>94</v>
      </c>
      <c r="B155" t="s">
        <v>5</v>
      </c>
      <c r="C155" t="s">
        <v>5</v>
      </c>
      <c r="D155">
        <v>58</v>
      </c>
      <c r="E155">
        <v>0.13975903614457799</v>
      </c>
      <c r="F155" s="6">
        <v>0.13975903614457799</v>
      </c>
    </row>
    <row r="156" spans="1:6" x14ac:dyDescent="0.25">
      <c r="A156" t="s">
        <v>95</v>
      </c>
      <c r="B156" t="s">
        <v>56</v>
      </c>
      <c r="C156" t="s">
        <v>56</v>
      </c>
      <c r="D156">
        <v>373</v>
      </c>
      <c r="E156">
        <v>0.898795180722892</v>
      </c>
      <c r="F156" s="6">
        <v>0.898795180722892</v>
      </c>
    </row>
    <row r="157" spans="1:6" x14ac:dyDescent="0.25">
      <c r="A157" t="s">
        <v>95</v>
      </c>
      <c r="B157" t="s">
        <v>5</v>
      </c>
      <c r="C157" t="s">
        <v>5</v>
      </c>
      <c r="D157">
        <v>42</v>
      </c>
      <c r="E157">
        <v>0.101204819277108</v>
      </c>
      <c r="F157" s="6">
        <v>0.101204819277108</v>
      </c>
    </row>
    <row r="158" spans="1:6" x14ac:dyDescent="0.25">
      <c r="A158" t="s">
        <v>96</v>
      </c>
      <c r="B158" t="s">
        <v>56</v>
      </c>
      <c r="C158" t="s">
        <v>56</v>
      </c>
      <c r="D158">
        <v>400</v>
      </c>
      <c r="E158">
        <v>0.96385542168674698</v>
      </c>
      <c r="F158" s="6">
        <v>0.96385542168674698</v>
      </c>
    </row>
    <row r="159" spans="1:6" x14ac:dyDescent="0.25">
      <c r="A159" t="s">
        <v>96</v>
      </c>
      <c r="B159" t="s">
        <v>5</v>
      </c>
      <c r="C159" t="s">
        <v>5</v>
      </c>
      <c r="D159">
        <v>15</v>
      </c>
      <c r="E159">
        <v>3.6144578313252997E-2</v>
      </c>
      <c r="F159" s="6">
        <v>3.6144578313252997E-2</v>
      </c>
    </row>
    <row r="160" spans="1:6" x14ac:dyDescent="0.25">
      <c r="A160" t="s">
        <v>97</v>
      </c>
      <c r="B160" t="s">
        <v>56</v>
      </c>
      <c r="C160" t="s">
        <v>56</v>
      </c>
      <c r="D160">
        <v>391</v>
      </c>
      <c r="E160">
        <v>0.94216867469879495</v>
      </c>
      <c r="F160" s="6">
        <v>0.94216867469879495</v>
      </c>
    </row>
    <row r="161" spans="1:6" x14ac:dyDescent="0.25">
      <c r="A161" t="s">
        <v>97</v>
      </c>
      <c r="B161" t="s">
        <v>5</v>
      </c>
      <c r="C161" t="s">
        <v>5</v>
      </c>
      <c r="D161">
        <v>24</v>
      </c>
      <c r="E161">
        <v>5.78313253012048E-2</v>
      </c>
      <c r="F161" s="6">
        <v>5.78313253012048E-2</v>
      </c>
    </row>
    <row r="162" spans="1:6" x14ac:dyDescent="0.25">
      <c r="A162" t="s">
        <v>98</v>
      </c>
      <c r="B162" t="s">
        <v>56</v>
      </c>
      <c r="C162" t="s">
        <v>56</v>
      </c>
      <c r="D162">
        <v>388</v>
      </c>
      <c r="E162">
        <v>0.93493975903614501</v>
      </c>
      <c r="F162" s="6">
        <v>0.93493975903614501</v>
      </c>
    </row>
    <row r="163" spans="1:6" x14ac:dyDescent="0.25">
      <c r="A163" t="s">
        <v>98</v>
      </c>
      <c r="B163" t="s">
        <v>5</v>
      </c>
      <c r="C163" t="s">
        <v>5</v>
      </c>
      <c r="D163">
        <v>27</v>
      </c>
      <c r="E163">
        <v>6.5060240963855404E-2</v>
      </c>
      <c r="F163" s="6">
        <v>6.5060240963855404E-2</v>
      </c>
    </row>
    <row r="164" spans="1:6" x14ac:dyDescent="0.25">
      <c r="A164" t="s">
        <v>158</v>
      </c>
      <c r="B164" t="s">
        <v>5</v>
      </c>
      <c r="C164" t="s">
        <v>234</v>
      </c>
      <c r="D164">
        <v>222</v>
      </c>
      <c r="E164">
        <v>0.53493975903614499</v>
      </c>
      <c r="F164" s="6">
        <v>0.53493975903614499</v>
      </c>
    </row>
    <row r="165" spans="1:6" x14ac:dyDescent="0.25">
      <c r="A165" t="s">
        <v>158</v>
      </c>
      <c r="B165" t="s">
        <v>56</v>
      </c>
      <c r="C165" t="s">
        <v>235</v>
      </c>
      <c r="D165">
        <v>193</v>
      </c>
      <c r="E165">
        <v>0.46506024096385501</v>
      </c>
      <c r="F165" s="6">
        <v>0.46506024096385501</v>
      </c>
    </row>
    <row r="166" spans="1:6" x14ac:dyDescent="0.25">
      <c r="A166" t="s">
        <v>159</v>
      </c>
      <c r="B166" t="s">
        <v>5</v>
      </c>
      <c r="C166" t="s">
        <v>234</v>
      </c>
      <c r="D166">
        <v>260</v>
      </c>
      <c r="E166">
        <v>0.626506024096386</v>
      </c>
      <c r="F166" s="6">
        <v>0.626506024096386</v>
      </c>
    </row>
    <row r="167" spans="1:6" x14ac:dyDescent="0.25">
      <c r="A167" t="s">
        <v>159</v>
      </c>
      <c r="B167" t="s">
        <v>56</v>
      </c>
      <c r="C167" t="s">
        <v>235</v>
      </c>
      <c r="D167">
        <v>155</v>
      </c>
      <c r="E167">
        <v>0.373493975903614</v>
      </c>
      <c r="F167" s="6">
        <v>0.373493975903614</v>
      </c>
    </row>
    <row r="168" spans="1:6" x14ac:dyDescent="0.25">
      <c r="A168" t="s">
        <v>160</v>
      </c>
      <c r="B168" t="s">
        <v>5</v>
      </c>
      <c r="C168" t="s">
        <v>234</v>
      </c>
      <c r="D168">
        <v>242</v>
      </c>
      <c r="E168">
        <v>0.58313253012048205</v>
      </c>
      <c r="F168" s="6">
        <v>0.58313253012048205</v>
      </c>
    </row>
    <row r="169" spans="1:6" x14ac:dyDescent="0.25">
      <c r="A169" t="s">
        <v>160</v>
      </c>
      <c r="B169" t="s">
        <v>56</v>
      </c>
      <c r="C169" t="s">
        <v>235</v>
      </c>
      <c r="D169">
        <v>173</v>
      </c>
      <c r="E169">
        <v>0.416867469879518</v>
      </c>
      <c r="F169" s="6">
        <v>0.416867469879518</v>
      </c>
    </row>
    <row r="170" spans="1:6" x14ac:dyDescent="0.25">
      <c r="A170" t="s">
        <v>161</v>
      </c>
      <c r="B170" t="s">
        <v>5</v>
      </c>
      <c r="C170" t="s">
        <v>234</v>
      </c>
      <c r="D170">
        <v>71</v>
      </c>
      <c r="E170">
        <v>0.17108433734939801</v>
      </c>
      <c r="F170" s="6">
        <v>0.17108433734939801</v>
      </c>
    </row>
    <row r="171" spans="1:6" x14ac:dyDescent="0.25">
      <c r="A171" t="s">
        <v>161</v>
      </c>
      <c r="B171" t="s">
        <v>56</v>
      </c>
      <c r="C171" t="s">
        <v>235</v>
      </c>
      <c r="D171">
        <v>344</v>
      </c>
      <c r="E171">
        <v>0.82891566265060201</v>
      </c>
      <c r="F171" s="6">
        <v>0.82891566265060201</v>
      </c>
    </row>
    <row r="172" spans="1:6" x14ac:dyDescent="0.25">
      <c r="A172" t="s">
        <v>162</v>
      </c>
      <c r="B172" t="s">
        <v>5</v>
      </c>
      <c r="C172" t="s">
        <v>234</v>
      </c>
      <c r="D172">
        <v>243</v>
      </c>
      <c r="E172">
        <v>0.58554216867469899</v>
      </c>
      <c r="F172" s="6">
        <v>0.58554216867469899</v>
      </c>
    </row>
    <row r="173" spans="1:6" x14ac:dyDescent="0.25">
      <c r="A173" t="s">
        <v>162</v>
      </c>
      <c r="B173" t="s">
        <v>56</v>
      </c>
      <c r="C173" t="s">
        <v>235</v>
      </c>
      <c r="D173">
        <v>172</v>
      </c>
      <c r="E173">
        <v>0.41445783132530101</v>
      </c>
      <c r="F173" s="6">
        <v>0.41445783132530101</v>
      </c>
    </row>
    <row r="174" spans="1:6" x14ac:dyDescent="0.25">
      <c r="A174" t="s">
        <v>163</v>
      </c>
      <c r="B174" t="s">
        <v>5</v>
      </c>
      <c r="C174" t="s">
        <v>234</v>
      </c>
      <c r="D174">
        <v>226</v>
      </c>
      <c r="E174">
        <v>0.54457831325301198</v>
      </c>
      <c r="F174" s="6">
        <v>0.54457831325301198</v>
      </c>
    </row>
    <row r="175" spans="1:6" x14ac:dyDescent="0.25">
      <c r="A175" t="s">
        <v>163</v>
      </c>
      <c r="B175" t="s">
        <v>56</v>
      </c>
      <c r="C175" t="s">
        <v>235</v>
      </c>
      <c r="D175">
        <v>189</v>
      </c>
      <c r="E175">
        <v>0.45542168674698802</v>
      </c>
      <c r="F175" s="6">
        <v>0.45542168674698802</v>
      </c>
    </row>
    <row r="176" spans="1:6" x14ac:dyDescent="0.25">
      <c r="A176" t="s">
        <v>164</v>
      </c>
      <c r="B176" t="s">
        <v>5</v>
      </c>
      <c r="C176" t="s">
        <v>234</v>
      </c>
      <c r="D176">
        <v>181</v>
      </c>
      <c r="E176">
        <v>0.43614457831325298</v>
      </c>
      <c r="F176" s="6">
        <v>0.43614457831325298</v>
      </c>
    </row>
    <row r="177" spans="1:6" x14ac:dyDescent="0.25">
      <c r="A177" t="s">
        <v>164</v>
      </c>
      <c r="B177" t="s">
        <v>56</v>
      </c>
      <c r="C177" t="s">
        <v>235</v>
      </c>
      <c r="D177">
        <v>234</v>
      </c>
      <c r="E177">
        <v>0.56385542168674696</v>
      </c>
      <c r="F177" s="6">
        <v>0.56385542168674696</v>
      </c>
    </row>
    <row r="178" spans="1:6" x14ac:dyDescent="0.25">
      <c r="A178" t="s">
        <v>165</v>
      </c>
      <c r="B178" t="s">
        <v>5</v>
      </c>
      <c r="C178" t="s">
        <v>234</v>
      </c>
      <c r="D178">
        <v>26</v>
      </c>
      <c r="E178">
        <v>6.26506024096386E-2</v>
      </c>
      <c r="F178" s="6">
        <v>6.26506024096386E-2</v>
      </c>
    </row>
    <row r="179" spans="1:6" x14ac:dyDescent="0.25">
      <c r="A179" t="s">
        <v>165</v>
      </c>
      <c r="B179" t="s">
        <v>56</v>
      </c>
      <c r="C179" t="s">
        <v>235</v>
      </c>
      <c r="D179">
        <v>389</v>
      </c>
      <c r="E179">
        <v>0.93734939759036096</v>
      </c>
      <c r="F179" s="6">
        <v>0.93734939759036096</v>
      </c>
    </row>
    <row r="180" spans="1:6" x14ac:dyDescent="0.25">
      <c r="A180" t="s">
        <v>166</v>
      </c>
      <c r="B180" t="s">
        <v>5</v>
      </c>
      <c r="C180" t="s">
        <v>234</v>
      </c>
      <c r="D180">
        <v>81</v>
      </c>
      <c r="E180">
        <v>0.19518072289156599</v>
      </c>
      <c r="F180" s="6">
        <v>0.19518072289156599</v>
      </c>
    </row>
    <row r="181" spans="1:6" x14ac:dyDescent="0.25">
      <c r="A181" t="s">
        <v>166</v>
      </c>
      <c r="B181" t="s">
        <v>56</v>
      </c>
      <c r="C181" t="s">
        <v>235</v>
      </c>
      <c r="D181">
        <v>334</v>
      </c>
      <c r="E181">
        <v>0.80481927710843404</v>
      </c>
      <c r="F181" s="6">
        <v>0.80481927710843404</v>
      </c>
    </row>
    <row r="182" spans="1:6" x14ac:dyDescent="0.25">
      <c r="A182" t="s">
        <v>167</v>
      </c>
      <c r="B182" t="s">
        <v>5</v>
      </c>
      <c r="C182" t="s">
        <v>234</v>
      </c>
      <c r="D182">
        <v>187</v>
      </c>
      <c r="E182">
        <v>0.45060240963855402</v>
      </c>
      <c r="F182" s="6">
        <v>0.45060240963855402</v>
      </c>
    </row>
    <row r="183" spans="1:6" x14ac:dyDescent="0.25">
      <c r="A183" t="s">
        <v>167</v>
      </c>
      <c r="B183" t="s">
        <v>56</v>
      </c>
      <c r="C183" t="s">
        <v>235</v>
      </c>
      <c r="D183">
        <v>228</v>
      </c>
      <c r="E183">
        <v>0.54939759036144598</v>
      </c>
      <c r="F183" s="6">
        <v>0.54939759036144598</v>
      </c>
    </row>
    <row r="184" spans="1:6" x14ac:dyDescent="0.25">
      <c r="A184" t="s">
        <v>168</v>
      </c>
      <c r="B184" t="s">
        <v>5</v>
      </c>
      <c r="C184" t="s">
        <v>234</v>
      </c>
      <c r="D184">
        <v>247</v>
      </c>
      <c r="E184">
        <v>0.59518072289156598</v>
      </c>
      <c r="F184" s="6">
        <v>0.59518072289156598</v>
      </c>
    </row>
    <row r="185" spans="1:6" x14ac:dyDescent="0.25">
      <c r="A185" t="s">
        <v>168</v>
      </c>
      <c r="B185" t="s">
        <v>56</v>
      </c>
      <c r="C185" t="s">
        <v>235</v>
      </c>
      <c r="D185">
        <v>168</v>
      </c>
      <c r="E185">
        <v>0.40481927710843402</v>
      </c>
      <c r="F185" s="6">
        <v>0.40481927710843402</v>
      </c>
    </row>
    <row r="186" spans="1:6" x14ac:dyDescent="0.25">
      <c r="A186" t="s">
        <v>169</v>
      </c>
      <c r="B186" t="s">
        <v>5</v>
      </c>
      <c r="C186" t="s">
        <v>234</v>
      </c>
      <c r="D186">
        <v>233</v>
      </c>
      <c r="E186">
        <v>0.56144578313253002</v>
      </c>
      <c r="F186" s="6">
        <v>0.56144578313253002</v>
      </c>
    </row>
    <row r="187" spans="1:6" x14ac:dyDescent="0.25">
      <c r="A187" t="s">
        <v>169</v>
      </c>
      <c r="B187" t="s">
        <v>56</v>
      </c>
      <c r="C187" t="s">
        <v>235</v>
      </c>
      <c r="D187">
        <v>182</v>
      </c>
      <c r="E187">
        <v>0.43855421686746998</v>
      </c>
      <c r="F187" s="6">
        <v>0.43855421686746998</v>
      </c>
    </row>
    <row r="188" spans="1:6" x14ac:dyDescent="0.25">
      <c r="A188" t="s">
        <v>170</v>
      </c>
      <c r="B188" t="s">
        <v>5</v>
      </c>
      <c r="C188" t="s">
        <v>234</v>
      </c>
      <c r="D188">
        <v>332</v>
      </c>
      <c r="E188">
        <v>0.8</v>
      </c>
      <c r="F188" s="6">
        <v>0.8</v>
      </c>
    </row>
    <row r="189" spans="1:6" x14ac:dyDescent="0.25">
      <c r="A189" t="s">
        <v>170</v>
      </c>
      <c r="B189" t="s">
        <v>56</v>
      </c>
      <c r="C189" t="s">
        <v>235</v>
      </c>
      <c r="D189">
        <v>83</v>
      </c>
      <c r="E189">
        <v>0.2</v>
      </c>
      <c r="F189" s="6">
        <v>0.2</v>
      </c>
    </row>
    <row r="190" spans="1:6" x14ac:dyDescent="0.25">
      <c r="A190" t="s">
        <v>171</v>
      </c>
      <c r="B190" t="s">
        <v>5</v>
      </c>
      <c r="C190" t="s">
        <v>234</v>
      </c>
      <c r="D190">
        <v>334</v>
      </c>
      <c r="E190">
        <v>0.80481927710843404</v>
      </c>
      <c r="F190" s="6">
        <v>0.80481927710843404</v>
      </c>
    </row>
    <row r="191" spans="1:6" x14ac:dyDescent="0.25">
      <c r="A191" t="s">
        <v>171</v>
      </c>
      <c r="B191" t="s">
        <v>56</v>
      </c>
      <c r="C191" t="s">
        <v>235</v>
      </c>
      <c r="D191">
        <v>81</v>
      </c>
      <c r="E191">
        <v>0.19518072289156599</v>
      </c>
      <c r="F191" s="6">
        <v>0.19518072289156599</v>
      </c>
    </row>
    <row r="192" spans="1:6" x14ac:dyDescent="0.25">
      <c r="A192" t="s">
        <v>172</v>
      </c>
      <c r="B192" t="s">
        <v>5</v>
      </c>
      <c r="C192" t="s">
        <v>234</v>
      </c>
      <c r="D192">
        <v>268</v>
      </c>
      <c r="E192">
        <v>0.64578313253011999</v>
      </c>
      <c r="F192" s="6">
        <v>0.64578313253011999</v>
      </c>
    </row>
    <row r="193" spans="1:6" x14ac:dyDescent="0.25">
      <c r="A193" t="s">
        <v>172</v>
      </c>
      <c r="B193" t="s">
        <v>56</v>
      </c>
      <c r="C193" t="s">
        <v>235</v>
      </c>
      <c r="D193">
        <v>147</v>
      </c>
      <c r="E193">
        <v>0.35421686746988001</v>
      </c>
      <c r="F193" s="6">
        <v>0.35421686746988001</v>
      </c>
    </row>
    <row r="194" spans="1:6" x14ac:dyDescent="0.25">
      <c r="A194" t="s">
        <v>173</v>
      </c>
      <c r="B194" t="s">
        <v>5</v>
      </c>
      <c r="C194" t="s">
        <v>234</v>
      </c>
      <c r="D194">
        <v>41</v>
      </c>
      <c r="E194">
        <v>9.8795180722891604E-2</v>
      </c>
      <c r="F194" s="6">
        <v>9.8795180722891604E-2</v>
      </c>
    </row>
    <row r="195" spans="1:6" x14ac:dyDescent="0.25">
      <c r="A195" t="s">
        <v>173</v>
      </c>
      <c r="B195" t="s">
        <v>56</v>
      </c>
      <c r="C195" t="s">
        <v>235</v>
      </c>
      <c r="D195">
        <v>374</v>
      </c>
      <c r="E195">
        <v>0.90120481927710805</v>
      </c>
      <c r="F195" s="6">
        <v>0.90120481927710805</v>
      </c>
    </row>
    <row r="196" spans="1:6" x14ac:dyDescent="0.25">
      <c r="A196" t="s">
        <v>174</v>
      </c>
      <c r="B196" t="s">
        <v>5</v>
      </c>
      <c r="C196" t="s">
        <v>234</v>
      </c>
      <c r="D196">
        <v>350</v>
      </c>
      <c r="E196">
        <v>0.843373493975904</v>
      </c>
      <c r="F196" s="6">
        <v>0.843373493975904</v>
      </c>
    </row>
    <row r="197" spans="1:6" x14ac:dyDescent="0.25">
      <c r="A197" t="s">
        <v>174</v>
      </c>
      <c r="B197" t="s">
        <v>56</v>
      </c>
      <c r="C197" t="s">
        <v>235</v>
      </c>
      <c r="D197">
        <v>65</v>
      </c>
      <c r="E197">
        <v>0.156626506024096</v>
      </c>
      <c r="F197" s="6">
        <v>0.156626506024096</v>
      </c>
    </row>
    <row r="198" spans="1:6" x14ac:dyDescent="0.25">
      <c r="A198" t="s">
        <v>175</v>
      </c>
      <c r="B198" t="s">
        <v>5</v>
      </c>
      <c r="C198" t="s">
        <v>234</v>
      </c>
      <c r="D198">
        <v>175</v>
      </c>
      <c r="E198">
        <v>0.421686746987952</v>
      </c>
      <c r="F198" s="6">
        <v>0.421686746987952</v>
      </c>
    </row>
    <row r="199" spans="1:6" x14ac:dyDescent="0.25">
      <c r="A199" t="s">
        <v>175</v>
      </c>
      <c r="B199" t="s">
        <v>56</v>
      </c>
      <c r="C199" t="s">
        <v>235</v>
      </c>
      <c r="D199">
        <v>240</v>
      </c>
      <c r="E199">
        <v>0.57831325301204795</v>
      </c>
      <c r="F199" s="6">
        <v>0.57831325301204795</v>
      </c>
    </row>
    <row r="200" spans="1:6" x14ac:dyDescent="0.25">
      <c r="A200" t="s">
        <v>176</v>
      </c>
      <c r="B200" t="s">
        <v>5</v>
      </c>
      <c r="C200" t="s">
        <v>234</v>
      </c>
      <c r="D200">
        <v>58</v>
      </c>
      <c r="E200">
        <v>0.13975903614457799</v>
      </c>
      <c r="F200" s="6">
        <v>0.13975903614457799</v>
      </c>
    </row>
    <row r="201" spans="1:6" x14ac:dyDescent="0.25">
      <c r="A201" t="s">
        <v>176</v>
      </c>
      <c r="B201" t="s">
        <v>56</v>
      </c>
      <c r="C201" t="s">
        <v>235</v>
      </c>
      <c r="D201">
        <v>357</v>
      </c>
      <c r="E201">
        <v>0.86024096385542204</v>
      </c>
      <c r="F201" s="6">
        <v>0.86024096385542204</v>
      </c>
    </row>
    <row r="202" spans="1:6" x14ac:dyDescent="0.25">
      <c r="A202" t="s">
        <v>177</v>
      </c>
      <c r="B202" t="s">
        <v>56</v>
      </c>
      <c r="C202" t="s">
        <v>56</v>
      </c>
      <c r="D202">
        <v>277</v>
      </c>
      <c r="E202">
        <v>0.66746987951807202</v>
      </c>
      <c r="F202" s="6">
        <v>0.66746987951807202</v>
      </c>
    </row>
    <row r="203" spans="1:6" x14ac:dyDescent="0.25">
      <c r="A203" t="s">
        <v>177</v>
      </c>
      <c r="B203" t="s">
        <v>5</v>
      </c>
      <c r="C203" t="s">
        <v>5</v>
      </c>
      <c r="D203">
        <v>138</v>
      </c>
      <c r="E203">
        <v>0.33253012048192798</v>
      </c>
      <c r="F203" s="6">
        <v>0.33253012048192798</v>
      </c>
    </row>
    <row r="204" spans="1:6" x14ac:dyDescent="0.25">
      <c r="A204" t="s">
        <v>178</v>
      </c>
      <c r="B204" t="s">
        <v>56</v>
      </c>
      <c r="C204" t="s">
        <v>56</v>
      </c>
      <c r="D204">
        <v>389</v>
      </c>
      <c r="E204">
        <v>0.93734939759036096</v>
      </c>
      <c r="F204" s="6">
        <v>0.93734939759036096</v>
      </c>
    </row>
    <row r="205" spans="1:6" x14ac:dyDescent="0.25">
      <c r="A205" t="s">
        <v>178</v>
      </c>
      <c r="B205" t="s">
        <v>5</v>
      </c>
      <c r="C205" t="s">
        <v>5</v>
      </c>
      <c r="D205">
        <v>26</v>
      </c>
      <c r="E205">
        <v>6.26506024096386E-2</v>
      </c>
      <c r="F205" s="6">
        <v>6.26506024096386E-2</v>
      </c>
    </row>
    <row r="206" spans="1:6" x14ac:dyDescent="0.25">
      <c r="A206" t="s">
        <v>179</v>
      </c>
      <c r="B206" t="s">
        <v>56</v>
      </c>
      <c r="C206" t="s">
        <v>56</v>
      </c>
      <c r="D206">
        <v>256</v>
      </c>
      <c r="E206">
        <v>0.61686746987951802</v>
      </c>
      <c r="F206" s="6">
        <v>0.61686746987951802</v>
      </c>
    </row>
    <row r="207" spans="1:6" x14ac:dyDescent="0.25">
      <c r="A207" t="s">
        <v>179</v>
      </c>
      <c r="B207" t="s">
        <v>5</v>
      </c>
      <c r="C207" t="s">
        <v>5</v>
      </c>
      <c r="D207">
        <v>159</v>
      </c>
      <c r="E207">
        <v>0.38313253012048198</v>
      </c>
      <c r="F207" s="6">
        <v>0.38313253012048198</v>
      </c>
    </row>
    <row r="208" spans="1:6" x14ac:dyDescent="0.25">
      <c r="A208" t="s">
        <v>180</v>
      </c>
      <c r="B208" t="s">
        <v>56</v>
      </c>
      <c r="C208" t="s">
        <v>56</v>
      </c>
      <c r="D208">
        <v>336</v>
      </c>
      <c r="E208">
        <v>0.80963855421686703</v>
      </c>
      <c r="F208" s="6">
        <v>0.80963855421686703</v>
      </c>
    </row>
    <row r="209" spans="1:6" x14ac:dyDescent="0.25">
      <c r="A209" t="s">
        <v>180</v>
      </c>
      <c r="B209" t="s">
        <v>5</v>
      </c>
      <c r="C209" t="s">
        <v>5</v>
      </c>
      <c r="D209">
        <v>79</v>
      </c>
      <c r="E209">
        <v>0.19036144578313299</v>
      </c>
      <c r="F209" s="6">
        <v>0.19036144578313299</v>
      </c>
    </row>
    <row r="210" spans="1:6" x14ac:dyDescent="0.25">
      <c r="A210" t="s">
        <v>181</v>
      </c>
      <c r="B210" t="s">
        <v>56</v>
      </c>
      <c r="C210" t="s">
        <v>56</v>
      </c>
      <c r="D210">
        <v>364</v>
      </c>
      <c r="E210">
        <v>0.87710843373493996</v>
      </c>
      <c r="F210" s="6">
        <v>0.87710843373493996</v>
      </c>
    </row>
    <row r="211" spans="1:6" x14ac:dyDescent="0.25">
      <c r="A211" t="s">
        <v>181</v>
      </c>
      <c r="B211" t="s">
        <v>5</v>
      </c>
      <c r="C211" t="s">
        <v>5</v>
      </c>
      <c r="D211">
        <v>51</v>
      </c>
      <c r="E211">
        <v>0.12289156626506</v>
      </c>
      <c r="F211" s="6">
        <v>0.12289156626506</v>
      </c>
    </row>
    <row r="212" spans="1:6" x14ac:dyDescent="0.25">
      <c r="A212" t="s">
        <v>182</v>
      </c>
      <c r="B212" t="s">
        <v>56</v>
      </c>
      <c r="C212" t="s">
        <v>56</v>
      </c>
      <c r="D212">
        <v>325</v>
      </c>
      <c r="E212">
        <v>0.78313253012048201</v>
      </c>
      <c r="F212" s="6">
        <v>0.78313253012048201</v>
      </c>
    </row>
    <row r="213" spans="1:6" x14ac:dyDescent="0.25">
      <c r="A213" t="s">
        <v>182</v>
      </c>
      <c r="B213" t="s">
        <v>5</v>
      </c>
      <c r="C213" t="s">
        <v>5</v>
      </c>
      <c r="D213">
        <v>90</v>
      </c>
      <c r="E213">
        <v>0.21686746987951799</v>
      </c>
      <c r="F213" s="6">
        <v>0.21686746987951799</v>
      </c>
    </row>
    <row r="214" spans="1:6" x14ac:dyDescent="0.25">
      <c r="A214" t="s">
        <v>183</v>
      </c>
      <c r="B214" t="s">
        <v>56</v>
      </c>
      <c r="C214" t="s">
        <v>56</v>
      </c>
      <c r="D214">
        <v>400</v>
      </c>
      <c r="E214">
        <v>0.96385542168674698</v>
      </c>
      <c r="F214" s="6">
        <v>0.96385542168674698</v>
      </c>
    </row>
    <row r="215" spans="1:6" x14ac:dyDescent="0.25">
      <c r="A215" t="s">
        <v>183</v>
      </c>
      <c r="B215" t="s">
        <v>5</v>
      </c>
      <c r="C215" t="s">
        <v>5</v>
      </c>
      <c r="D215">
        <v>15</v>
      </c>
      <c r="E215">
        <v>3.6144578313252997E-2</v>
      </c>
      <c r="F215" s="6">
        <v>3.6144578313252997E-2</v>
      </c>
    </row>
    <row r="216" spans="1:6" x14ac:dyDescent="0.25">
      <c r="A216" t="s">
        <v>184</v>
      </c>
      <c r="B216" t="s">
        <v>56</v>
      </c>
      <c r="C216" t="s">
        <v>56</v>
      </c>
      <c r="D216">
        <v>369</v>
      </c>
      <c r="E216">
        <v>0.88915662650602401</v>
      </c>
      <c r="F216" s="6">
        <v>0.88915662650602401</v>
      </c>
    </row>
    <row r="217" spans="1:6" x14ac:dyDescent="0.25">
      <c r="A217" t="s">
        <v>184</v>
      </c>
      <c r="B217" t="s">
        <v>5</v>
      </c>
      <c r="C217" t="s">
        <v>5</v>
      </c>
      <c r="D217">
        <v>46</v>
      </c>
      <c r="E217">
        <v>0.11084337349397599</v>
      </c>
      <c r="F217" s="6">
        <v>0.11084337349397599</v>
      </c>
    </row>
    <row r="218" spans="1:6" x14ac:dyDescent="0.25">
      <c r="A218" t="s">
        <v>185</v>
      </c>
      <c r="B218" t="s">
        <v>56</v>
      </c>
      <c r="C218" t="s">
        <v>56</v>
      </c>
      <c r="D218">
        <v>342</v>
      </c>
      <c r="E218">
        <v>0.82409638554216902</v>
      </c>
      <c r="F218" s="6">
        <v>0.82409638554216902</v>
      </c>
    </row>
    <row r="219" spans="1:6" x14ac:dyDescent="0.25">
      <c r="A219" t="s">
        <v>185</v>
      </c>
      <c r="B219" t="s">
        <v>5</v>
      </c>
      <c r="C219" t="s">
        <v>5</v>
      </c>
      <c r="D219">
        <v>73</v>
      </c>
      <c r="E219">
        <v>0.17590361445783101</v>
      </c>
      <c r="F219" s="6">
        <v>0.17590361445783101</v>
      </c>
    </row>
    <row r="220" spans="1:6" x14ac:dyDescent="0.25">
      <c r="A220" t="s">
        <v>186</v>
      </c>
      <c r="B220" t="s">
        <v>56</v>
      </c>
      <c r="C220" t="s">
        <v>56</v>
      </c>
      <c r="D220">
        <v>358</v>
      </c>
      <c r="E220">
        <v>0.86265060240963898</v>
      </c>
      <c r="F220" s="6">
        <v>0.86265060240963898</v>
      </c>
    </row>
    <row r="221" spans="1:6" x14ac:dyDescent="0.25">
      <c r="A221" t="s">
        <v>186</v>
      </c>
      <c r="B221" t="s">
        <v>5</v>
      </c>
      <c r="C221" t="s">
        <v>5</v>
      </c>
      <c r="D221">
        <v>57</v>
      </c>
      <c r="E221">
        <v>0.13734939759036099</v>
      </c>
      <c r="F221" s="6">
        <v>0.13734939759036099</v>
      </c>
    </row>
    <row r="222" spans="1:6" x14ac:dyDescent="0.25">
      <c r="A222" t="s">
        <v>187</v>
      </c>
      <c r="B222" t="s">
        <v>56</v>
      </c>
      <c r="C222" t="s">
        <v>56</v>
      </c>
      <c r="D222">
        <v>298</v>
      </c>
      <c r="E222">
        <v>0.71807228915662602</v>
      </c>
      <c r="F222" s="6">
        <v>0.71807228915662602</v>
      </c>
    </row>
    <row r="223" spans="1:6" x14ac:dyDescent="0.25">
      <c r="A223" t="s">
        <v>187</v>
      </c>
      <c r="B223" t="s">
        <v>5</v>
      </c>
      <c r="C223" t="s">
        <v>5</v>
      </c>
      <c r="D223">
        <v>117</v>
      </c>
      <c r="E223">
        <v>0.28192771084337298</v>
      </c>
      <c r="F223" s="6">
        <v>0.28192771084337298</v>
      </c>
    </row>
    <row r="224" spans="1:6" x14ac:dyDescent="0.25">
      <c r="A224" t="s">
        <v>188</v>
      </c>
      <c r="B224" t="s">
        <v>56</v>
      </c>
      <c r="C224" t="s">
        <v>56</v>
      </c>
      <c r="D224">
        <v>271</v>
      </c>
      <c r="E224">
        <v>0.65301204819277103</v>
      </c>
      <c r="F224" s="6">
        <v>0.65301204819277103</v>
      </c>
    </row>
    <row r="225" spans="1:6" x14ac:dyDescent="0.25">
      <c r="A225" t="s">
        <v>188</v>
      </c>
      <c r="B225" t="s">
        <v>5</v>
      </c>
      <c r="C225" t="s">
        <v>5</v>
      </c>
      <c r="D225">
        <v>144</v>
      </c>
      <c r="E225">
        <v>0.34698795180722902</v>
      </c>
      <c r="F225" s="6">
        <v>0.34698795180722902</v>
      </c>
    </row>
    <row r="226" spans="1:6" x14ac:dyDescent="0.25">
      <c r="A226" t="s">
        <v>189</v>
      </c>
      <c r="B226" t="s">
        <v>56</v>
      </c>
      <c r="C226" t="s">
        <v>56</v>
      </c>
      <c r="D226">
        <v>370</v>
      </c>
      <c r="E226">
        <v>0.89156626506024095</v>
      </c>
      <c r="F226" s="6">
        <v>0.89156626506024095</v>
      </c>
    </row>
    <row r="227" spans="1:6" x14ac:dyDescent="0.25">
      <c r="A227" t="s">
        <v>189</v>
      </c>
      <c r="B227" t="s">
        <v>5</v>
      </c>
      <c r="C227" t="s">
        <v>5</v>
      </c>
      <c r="D227">
        <v>45</v>
      </c>
      <c r="E227">
        <v>0.108433734939759</v>
      </c>
      <c r="F227" s="6">
        <v>0.108433734939759</v>
      </c>
    </row>
    <row r="228" spans="1:6" x14ac:dyDescent="0.25">
      <c r="A228" t="s">
        <v>190</v>
      </c>
      <c r="B228" t="s">
        <v>56</v>
      </c>
      <c r="C228" t="s">
        <v>56</v>
      </c>
      <c r="D228">
        <v>372</v>
      </c>
      <c r="E228">
        <v>0.89638554216867505</v>
      </c>
      <c r="F228" s="6">
        <v>0.89638554216867505</v>
      </c>
    </row>
    <row r="229" spans="1:6" x14ac:dyDescent="0.25">
      <c r="A229" t="s">
        <v>190</v>
      </c>
      <c r="B229" t="s">
        <v>5</v>
      </c>
      <c r="C229" t="s">
        <v>5</v>
      </c>
      <c r="D229">
        <v>43</v>
      </c>
      <c r="E229">
        <v>0.103614457831325</v>
      </c>
      <c r="F229" s="6">
        <v>0.103614457831325</v>
      </c>
    </row>
    <row r="230" spans="1:6" x14ac:dyDescent="0.25">
      <c r="A230" t="s">
        <v>191</v>
      </c>
      <c r="B230" t="s">
        <v>56</v>
      </c>
      <c r="C230" t="s">
        <v>56</v>
      </c>
      <c r="D230">
        <v>390</v>
      </c>
      <c r="E230">
        <v>0.93975903614457801</v>
      </c>
      <c r="F230" s="6">
        <v>0.93975903614457801</v>
      </c>
    </row>
    <row r="231" spans="1:6" x14ac:dyDescent="0.25">
      <c r="A231" t="s">
        <v>191</v>
      </c>
      <c r="B231" t="s">
        <v>5</v>
      </c>
      <c r="C231" t="s">
        <v>5</v>
      </c>
      <c r="D231">
        <v>25</v>
      </c>
      <c r="E231">
        <v>6.02409638554217E-2</v>
      </c>
      <c r="F231" s="6">
        <v>6.02409638554217E-2</v>
      </c>
    </row>
    <row r="232" spans="1:6" x14ac:dyDescent="0.25">
      <c r="A232" t="s">
        <v>192</v>
      </c>
      <c r="B232" t="s">
        <v>56</v>
      </c>
      <c r="C232" t="s">
        <v>56</v>
      </c>
      <c r="D232">
        <v>311</v>
      </c>
      <c r="E232">
        <v>0.74939759036144604</v>
      </c>
      <c r="F232" s="6">
        <v>0.74939759036144604</v>
      </c>
    </row>
    <row r="233" spans="1:6" x14ac:dyDescent="0.25">
      <c r="A233" t="s">
        <v>192</v>
      </c>
      <c r="B233" t="s">
        <v>5</v>
      </c>
      <c r="C233" t="s">
        <v>5</v>
      </c>
      <c r="D233">
        <v>104</v>
      </c>
      <c r="E233">
        <v>0.25060240963855401</v>
      </c>
      <c r="F233" s="6">
        <v>0.25060240963855401</v>
      </c>
    </row>
    <row r="234" spans="1:6" x14ac:dyDescent="0.25">
      <c r="A234" t="s">
        <v>193</v>
      </c>
      <c r="B234" t="s">
        <v>56</v>
      </c>
      <c r="C234" t="s">
        <v>56</v>
      </c>
      <c r="D234">
        <v>382</v>
      </c>
      <c r="E234">
        <v>0.92048192771084303</v>
      </c>
      <c r="F234" s="6">
        <v>0.92048192771084303</v>
      </c>
    </row>
    <row r="235" spans="1:6" x14ac:dyDescent="0.25">
      <c r="A235" t="s">
        <v>193</v>
      </c>
      <c r="B235" t="s">
        <v>5</v>
      </c>
      <c r="C235" t="s">
        <v>5</v>
      </c>
      <c r="D235">
        <v>33</v>
      </c>
      <c r="E235">
        <v>7.9518072289156597E-2</v>
      </c>
      <c r="F235" s="6">
        <v>7.9518072289156597E-2</v>
      </c>
    </row>
    <row r="236" spans="1:6" x14ac:dyDescent="0.25">
      <c r="A236" t="s">
        <v>194</v>
      </c>
      <c r="B236" t="s">
        <v>5</v>
      </c>
      <c r="C236" s="5" t="s">
        <v>236</v>
      </c>
      <c r="D236">
        <v>62</v>
      </c>
      <c r="E236">
        <v>0.14939759036144601</v>
      </c>
      <c r="F236" s="6">
        <v>0.14939759036144601</v>
      </c>
    </row>
    <row r="237" spans="1:6" x14ac:dyDescent="0.25">
      <c r="A237" t="s">
        <v>194</v>
      </c>
      <c r="B237" t="s">
        <v>6</v>
      </c>
      <c r="C237" s="5" t="s">
        <v>236</v>
      </c>
      <c r="D237">
        <v>26</v>
      </c>
      <c r="E237">
        <v>6.26506024096386E-2</v>
      </c>
      <c r="F237" s="6">
        <v>6.26506024096386E-2</v>
      </c>
    </row>
    <row r="238" spans="1:6" x14ac:dyDescent="0.25">
      <c r="A238" t="s">
        <v>194</v>
      </c>
      <c r="B238" t="s">
        <v>7</v>
      </c>
      <c r="C238" s="5" t="s">
        <v>236</v>
      </c>
      <c r="D238">
        <v>38</v>
      </c>
      <c r="E238">
        <v>9.1566265060241001E-2</v>
      </c>
      <c r="F238" s="6">
        <v>9.1566265060241001E-2</v>
      </c>
    </row>
    <row r="239" spans="1:6" x14ac:dyDescent="0.25">
      <c r="A239" t="s">
        <v>194</v>
      </c>
      <c r="B239" t="s">
        <v>12</v>
      </c>
      <c r="C239" s="5" t="s">
        <v>236</v>
      </c>
      <c r="D239">
        <v>70</v>
      </c>
      <c r="E239">
        <v>0.16867469879518099</v>
      </c>
      <c r="F239" s="6">
        <v>0.16867469879518099</v>
      </c>
    </row>
    <row r="240" spans="1:6" x14ac:dyDescent="0.25">
      <c r="A240" t="s">
        <v>194</v>
      </c>
      <c r="B240" t="s">
        <v>13</v>
      </c>
      <c r="C240" s="5" t="s">
        <v>236</v>
      </c>
      <c r="D240">
        <v>44</v>
      </c>
      <c r="E240">
        <v>0.106024096385542</v>
      </c>
      <c r="F240" s="6">
        <v>0.106024096385542</v>
      </c>
    </row>
    <row r="241" spans="1:6" x14ac:dyDescent="0.25">
      <c r="A241" t="s">
        <v>194</v>
      </c>
      <c r="B241" t="s">
        <v>14</v>
      </c>
      <c r="C241" s="5" t="s">
        <v>236</v>
      </c>
      <c r="D241">
        <v>15</v>
      </c>
      <c r="E241">
        <v>3.6144578313252997E-2</v>
      </c>
      <c r="F241" s="6">
        <v>3.6144578313252997E-2</v>
      </c>
    </row>
    <row r="242" spans="1:6" x14ac:dyDescent="0.25">
      <c r="A242" t="s">
        <v>194</v>
      </c>
      <c r="B242" t="s">
        <v>15</v>
      </c>
      <c r="C242" s="5" t="s">
        <v>236</v>
      </c>
      <c r="D242">
        <v>39</v>
      </c>
      <c r="E242">
        <v>9.3975903614457804E-2</v>
      </c>
      <c r="F242" s="6">
        <v>9.3975903614457804E-2</v>
      </c>
    </row>
    <row r="243" spans="1:6" x14ac:dyDescent="0.25">
      <c r="A243" t="s">
        <v>194</v>
      </c>
      <c r="B243" t="s">
        <v>31</v>
      </c>
      <c r="C243" s="5" t="s">
        <v>236</v>
      </c>
      <c r="D243">
        <v>58</v>
      </c>
      <c r="E243">
        <v>0.13975903614457799</v>
      </c>
      <c r="F243" s="6">
        <v>0.13975903614457799</v>
      </c>
    </row>
    <row r="244" spans="1:6" x14ac:dyDescent="0.25">
      <c r="A244" t="s">
        <v>194</v>
      </c>
      <c r="B244" t="s">
        <v>32</v>
      </c>
      <c r="C244" s="5" t="s">
        <v>236</v>
      </c>
      <c r="D244">
        <v>26</v>
      </c>
      <c r="E244">
        <v>6.26506024096386E-2</v>
      </c>
      <c r="F244" s="6">
        <v>6.26506024096386E-2</v>
      </c>
    </row>
    <row r="245" spans="1:6" x14ac:dyDescent="0.25">
      <c r="A245" t="s">
        <v>194</v>
      </c>
      <c r="B245" t="s">
        <v>33</v>
      </c>
      <c r="C245" s="5" t="s">
        <v>236</v>
      </c>
      <c r="D245">
        <v>37</v>
      </c>
      <c r="E245">
        <v>8.91566265060241E-2</v>
      </c>
      <c r="F245" s="6">
        <v>8.91566265060241E-2</v>
      </c>
    </row>
    <row r="246" spans="1:6" x14ac:dyDescent="0.25">
      <c r="A246" t="s">
        <v>195</v>
      </c>
      <c r="B246" t="s">
        <v>5</v>
      </c>
      <c r="C246" s="5" t="s">
        <v>237</v>
      </c>
      <c r="D246">
        <v>55</v>
      </c>
      <c r="E246">
        <v>0.132530120481928</v>
      </c>
      <c r="F246" s="6">
        <v>0.132530120481928</v>
      </c>
    </row>
    <row r="247" spans="1:6" x14ac:dyDescent="0.25">
      <c r="A247" t="s">
        <v>195</v>
      </c>
      <c r="B247" t="s">
        <v>6</v>
      </c>
      <c r="C247" s="5" t="s">
        <v>237</v>
      </c>
      <c r="D247">
        <v>32</v>
      </c>
      <c r="E247">
        <v>7.7108433734939794E-2</v>
      </c>
      <c r="F247" s="6">
        <v>7.7108433734939794E-2</v>
      </c>
    </row>
    <row r="248" spans="1:6" x14ac:dyDescent="0.25">
      <c r="A248" t="s">
        <v>195</v>
      </c>
      <c r="B248" t="s">
        <v>7</v>
      </c>
      <c r="C248" s="5" t="s">
        <v>237</v>
      </c>
      <c r="D248">
        <v>40</v>
      </c>
      <c r="E248">
        <v>9.6385542168674704E-2</v>
      </c>
      <c r="F248" s="6">
        <v>9.6385542168674704E-2</v>
      </c>
    </row>
    <row r="249" spans="1:6" x14ac:dyDescent="0.25">
      <c r="A249" t="s">
        <v>195</v>
      </c>
      <c r="B249" t="s">
        <v>12</v>
      </c>
      <c r="C249" s="5" t="s">
        <v>237</v>
      </c>
      <c r="D249">
        <v>48</v>
      </c>
      <c r="E249">
        <v>0.11566265060241</v>
      </c>
      <c r="F249" s="6">
        <v>0.11566265060241</v>
      </c>
    </row>
    <row r="250" spans="1:6" x14ac:dyDescent="0.25">
      <c r="A250" t="s">
        <v>195</v>
      </c>
      <c r="B250" t="s">
        <v>13</v>
      </c>
      <c r="C250" s="5" t="s">
        <v>237</v>
      </c>
      <c r="D250">
        <v>46</v>
      </c>
      <c r="E250">
        <v>0.11084337349397599</v>
      </c>
      <c r="F250" s="6">
        <v>0.11084337349397599</v>
      </c>
    </row>
    <row r="251" spans="1:6" x14ac:dyDescent="0.25">
      <c r="A251" t="s">
        <v>195</v>
      </c>
      <c r="B251" t="s">
        <v>14</v>
      </c>
      <c r="C251" s="5" t="s">
        <v>237</v>
      </c>
      <c r="D251">
        <v>38</v>
      </c>
      <c r="E251">
        <v>9.1566265060241001E-2</v>
      </c>
      <c r="F251" s="6">
        <v>9.1566265060241001E-2</v>
      </c>
    </row>
    <row r="252" spans="1:6" x14ac:dyDescent="0.25">
      <c r="A252" t="s">
        <v>195</v>
      </c>
      <c r="B252" t="s">
        <v>15</v>
      </c>
      <c r="C252" s="5" t="s">
        <v>237</v>
      </c>
      <c r="D252">
        <v>39</v>
      </c>
      <c r="E252">
        <v>9.3975903614457804E-2</v>
      </c>
      <c r="F252" s="6">
        <v>9.3975903614457804E-2</v>
      </c>
    </row>
    <row r="253" spans="1:6" x14ac:dyDescent="0.25">
      <c r="A253" t="s">
        <v>195</v>
      </c>
      <c r="B253" t="s">
        <v>31</v>
      </c>
      <c r="C253" s="5" t="s">
        <v>237</v>
      </c>
      <c r="D253">
        <v>63</v>
      </c>
      <c r="E253">
        <v>0.15180722891566301</v>
      </c>
      <c r="F253" s="6">
        <v>0.15180722891566301</v>
      </c>
    </row>
    <row r="254" spans="1:6" x14ac:dyDescent="0.25">
      <c r="A254" t="s">
        <v>195</v>
      </c>
      <c r="B254" t="s">
        <v>32</v>
      </c>
      <c r="C254" s="5" t="s">
        <v>237</v>
      </c>
      <c r="D254">
        <v>31</v>
      </c>
      <c r="E254">
        <v>7.4698795180722893E-2</v>
      </c>
      <c r="F254" s="6">
        <v>7.4698795180722893E-2</v>
      </c>
    </row>
    <row r="255" spans="1:6" x14ac:dyDescent="0.25">
      <c r="A255" t="s">
        <v>195</v>
      </c>
      <c r="B255" t="s">
        <v>33</v>
      </c>
      <c r="C255" s="5" t="s">
        <v>237</v>
      </c>
      <c r="D255">
        <v>23</v>
      </c>
      <c r="E255">
        <v>5.54216867469879E-2</v>
      </c>
      <c r="F255" s="6">
        <v>5.54216867469879E-2</v>
      </c>
    </row>
    <row r="256" spans="1:6" x14ac:dyDescent="0.25">
      <c r="A256" t="s">
        <v>196</v>
      </c>
      <c r="B256" t="s">
        <v>5</v>
      </c>
      <c r="C256" s="5" t="s">
        <v>238</v>
      </c>
      <c r="D256">
        <v>50</v>
      </c>
      <c r="E256">
        <v>0.120481927710843</v>
      </c>
      <c r="F256" s="6">
        <v>0.120481927710843</v>
      </c>
    </row>
    <row r="257" spans="1:6" x14ac:dyDescent="0.25">
      <c r="A257" t="s">
        <v>196</v>
      </c>
      <c r="B257" t="s">
        <v>6</v>
      </c>
      <c r="C257" s="5" t="s">
        <v>238</v>
      </c>
      <c r="D257">
        <v>38</v>
      </c>
      <c r="E257">
        <v>9.1566265060241001E-2</v>
      </c>
      <c r="F257" s="6">
        <v>9.1566265060241001E-2</v>
      </c>
    </row>
    <row r="258" spans="1:6" x14ac:dyDescent="0.25">
      <c r="A258" t="s">
        <v>196</v>
      </c>
      <c r="B258" t="s">
        <v>7</v>
      </c>
      <c r="C258" s="5" t="s">
        <v>238</v>
      </c>
      <c r="D258">
        <v>46</v>
      </c>
      <c r="E258">
        <v>0.11084337349397599</v>
      </c>
      <c r="F258" s="6">
        <v>0.11084337349397599</v>
      </c>
    </row>
    <row r="259" spans="1:6" x14ac:dyDescent="0.25">
      <c r="A259" t="s">
        <v>196</v>
      </c>
      <c r="B259" t="s">
        <v>12</v>
      </c>
      <c r="C259" s="5" t="s">
        <v>238</v>
      </c>
      <c r="D259">
        <v>39</v>
      </c>
      <c r="E259">
        <v>9.3975903614457804E-2</v>
      </c>
      <c r="F259" s="6">
        <v>9.3975903614457804E-2</v>
      </c>
    </row>
    <row r="260" spans="1:6" x14ac:dyDescent="0.25">
      <c r="A260" t="s">
        <v>196</v>
      </c>
      <c r="B260" t="s">
        <v>13</v>
      </c>
      <c r="C260" s="5" t="s">
        <v>238</v>
      </c>
      <c r="D260">
        <v>61</v>
      </c>
      <c r="E260">
        <v>0.14698795180722901</v>
      </c>
      <c r="F260" s="6">
        <v>0.14698795180722901</v>
      </c>
    </row>
    <row r="261" spans="1:6" x14ac:dyDescent="0.25">
      <c r="A261" t="s">
        <v>196</v>
      </c>
      <c r="B261" t="s">
        <v>14</v>
      </c>
      <c r="C261" s="5" t="s">
        <v>238</v>
      </c>
      <c r="D261">
        <v>33</v>
      </c>
      <c r="E261">
        <v>7.9518072289156597E-2</v>
      </c>
      <c r="F261" s="6">
        <v>7.9518072289156597E-2</v>
      </c>
    </row>
    <row r="262" spans="1:6" x14ac:dyDescent="0.25">
      <c r="A262" t="s">
        <v>196</v>
      </c>
      <c r="B262" t="s">
        <v>15</v>
      </c>
      <c r="C262" s="5" t="s">
        <v>238</v>
      </c>
      <c r="D262">
        <v>36</v>
      </c>
      <c r="E262">
        <v>8.67469879518072E-2</v>
      </c>
      <c r="F262" s="6">
        <v>8.67469879518072E-2</v>
      </c>
    </row>
    <row r="263" spans="1:6" x14ac:dyDescent="0.25">
      <c r="A263" t="s">
        <v>196</v>
      </c>
      <c r="B263" t="s">
        <v>31</v>
      </c>
      <c r="C263" s="5" t="s">
        <v>238</v>
      </c>
      <c r="D263">
        <v>48</v>
      </c>
      <c r="E263">
        <v>0.11566265060241</v>
      </c>
      <c r="F263" s="6">
        <v>0.11566265060241</v>
      </c>
    </row>
    <row r="264" spans="1:6" x14ac:dyDescent="0.25">
      <c r="A264" t="s">
        <v>196</v>
      </c>
      <c r="B264" t="s">
        <v>32</v>
      </c>
      <c r="C264" s="5" t="s">
        <v>238</v>
      </c>
      <c r="D264">
        <v>38</v>
      </c>
      <c r="E264">
        <v>9.1566265060241001E-2</v>
      </c>
      <c r="F264" s="6">
        <v>9.1566265060241001E-2</v>
      </c>
    </row>
    <row r="265" spans="1:6" x14ac:dyDescent="0.25">
      <c r="A265" t="s">
        <v>196</v>
      </c>
      <c r="B265" t="s">
        <v>33</v>
      </c>
      <c r="C265" s="5" t="s">
        <v>238</v>
      </c>
      <c r="D265">
        <v>26</v>
      </c>
      <c r="E265">
        <v>6.26506024096386E-2</v>
      </c>
      <c r="F265" s="6">
        <v>6.26506024096386E-2</v>
      </c>
    </row>
    <row r="266" spans="1:6" x14ac:dyDescent="0.25">
      <c r="A266" t="s">
        <v>197</v>
      </c>
      <c r="B266" t="s">
        <v>5</v>
      </c>
      <c r="C266" s="5" t="s">
        <v>239</v>
      </c>
      <c r="D266">
        <v>60</v>
      </c>
      <c r="E266">
        <v>0.14457831325301199</v>
      </c>
      <c r="F266" s="6">
        <v>0.14457831325301199</v>
      </c>
    </row>
    <row r="267" spans="1:6" x14ac:dyDescent="0.25">
      <c r="A267" t="s">
        <v>197</v>
      </c>
      <c r="B267" t="s">
        <v>6</v>
      </c>
      <c r="C267" s="5" t="s">
        <v>239</v>
      </c>
      <c r="D267">
        <v>38</v>
      </c>
      <c r="E267">
        <v>9.1566265060241001E-2</v>
      </c>
      <c r="F267" s="6">
        <v>9.1566265060241001E-2</v>
      </c>
    </row>
    <row r="268" spans="1:6" x14ac:dyDescent="0.25">
      <c r="A268" t="s">
        <v>197</v>
      </c>
      <c r="B268" t="s">
        <v>7</v>
      </c>
      <c r="C268" s="5" t="s">
        <v>239</v>
      </c>
      <c r="D268">
        <v>29</v>
      </c>
      <c r="E268">
        <v>6.9879518072289204E-2</v>
      </c>
      <c r="F268" s="6">
        <v>6.9879518072289204E-2</v>
      </c>
    </row>
    <row r="269" spans="1:6" x14ac:dyDescent="0.25">
      <c r="A269" t="s">
        <v>197</v>
      </c>
      <c r="B269" t="s">
        <v>12</v>
      </c>
      <c r="C269" s="5" t="s">
        <v>239</v>
      </c>
      <c r="D269">
        <v>44</v>
      </c>
      <c r="E269">
        <v>0.106024096385542</v>
      </c>
      <c r="F269" s="6">
        <v>0.106024096385542</v>
      </c>
    </row>
    <row r="270" spans="1:6" x14ac:dyDescent="0.25">
      <c r="A270" t="s">
        <v>197</v>
      </c>
      <c r="B270" t="s">
        <v>13</v>
      </c>
      <c r="C270" s="5" t="s">
        <v>239</v>
      </c>
      <c r="D270">
        <v>32</v>
      </c>
      <c r="E270">
        <v>7.7108433734939794E-2</v>
      </c>
      <c r="F270" s="6">
        <v>7.7108433734939794E-2</v>
      </c>
    </row>
    <row r="271" spans="1:6" x14ac:dyDescent="0.25">
      <c r="A271" t="s">
        <v>197</v>
      </c>
      <c r="B271" t="s">
        <v>14</v>
      </c>
      <c r="C271" s="5" t="s">
        <v>239</v>
      </c>
      <c r="D271">
        <v>40</v>
      </c>
      <c r="E271">
        <v>9.6385542168674704E-2</v>
      </c>
      <c r="F271" s="6">
        <v>9.6385542168674704E-2</v>
      </c>
    </row>
    <row r="272" spans="1:6" x14ac:dyDescent="0.25">
      <c r="A272" t="s">
        <v>197</v>
      </c>
      <c r="B272" t="s">
        <v>15</v>
      </c>
      <c r="C272" s="5" t="s">
        <v>239</v>
      </c>
      <c r="D272">
        <v>44</v>
      </c>
      <c r="E272">
        <v>0.106024096385542</v>
      </c>
      <c r="F272" s="6">
        <v>0.106024096385542</v>
      </c>
    </row>
    <row r="273" spans="1:6" x14ac:dyDescent="0.25">
      <c r="A273" t="s">
        <v>197</v>
      </c>
      <c r="B273" t="s">
        <v>31</v>
      </c>
      <c r="C273" s="5" t="s">
        <v>239</v>
      </c>
      <c r="D273">
        <v>56</v>
      </c>
      <c r="E273">
        <v>0.134939759036145</v>
      </c>
      <c r="F273" s="6">
        <v>0.134939759036145</v>
      </c>
    </row>
    <row r="274" spans="1:6" x14ac:dyDescent="0.25">
      <c r="A274" t="s">
        <v>197</v>
      </c>
      <c r="B274" t="s">
        <v>32</v>
      </c>
      <c r="C274" s="5" t="s">
        <v>239</v>
      </c>
      <c r="D274">
        <v>42</v>
      </c>
      <c r="E274">
        <v>0.101204819277108</v>
      </c>
      <c r="F274" s="6">
        <v>0.101204819277108</v>
      </c>
    </row>
    <row r="275" spans="1:6" x14ac:dyDescent="0.25">
      <c r="A275" t="s">
        <v>197</v>
      </c>
      <c r="B275" t="s">
        <v>33</v>
      </c>
      <c r="C275" s="5" t="s">
        <v>239</v>
      </c>
      <c r="D275">
        <v>30</v>
      </c>
      <c r="E275">
        <v>7.2289156626505993E-2</v>
      </c>
      <c r="F275" s="6">
        <v>7.2289156626505993E-2</v>
      </c>
    </row>
    <row r="276" spans="1:6" x14ac:dyDescent="0.25">
      <c r="A276" t="s">
        <v>198</v>
      </c>
      <c r="B276" t="s">
        <v>5</v>
      </c>
      <c r="C276" s="5" t="s">
        <v>240</v>
      </c>
      <c r="D276">
        <v>44</v>
      </c>
      <c r="E276">
        <v>0.106024096385542</v>
      </c>
      <c r="F276" s="6">
        <v>0.106024096385542</v>
      </c>
    </row>
    <row r="277" spans="1:6" x14ac:dyDescent="0.25">
      <c r="A277" t="s">
        <v>198</v>
      </c>
      <c r="B277" t="s">
        <v>6</v>
      </c>
      <c r="C277" s="5" t="s">
        <v>240</v>
      </c>
      <c r="D277">
        <v>40</v>
      </c>
      <c r="E277">
        <v>9.6385542168674704E-2</v>
      </c>
      <c r="F277" s="6">
        <v>9.6385542168674704E-2</v>
      </c>
    </row>
    <row r="278" spans="1:6" x14ac:dyDescent="0.25">
      <c r="A278" t="s">
        <v>198</v>
      </c>
      <c r="B278" t="s">
        <v>7</v>
      </c>
      <c r="C278" s="5" t="s">
        <v>240</v>
      </c>
      <c r="D278">
        <v>37</v>
      </c>
      <c r="E278">
        <v>8.91566265060241E-2</v>
      </c>
      <c r="F278" s="6">
        <v>8.91566265060241E-2</v>
      </c>
    </row>
    <row r="279" spans="1:6" x14ac:dyDescent="0.25">
      <c r="A279" t="s">
        <v>198</v>
      </c>
      <c r="B279" t="s">
        <v>12</v>
      </c>
      <c r="C279" s="5" t="s">
        <v>240</v>
      </c>
      <c r="D279">
        <v>38</v>
      </c>
      <c r="E279">
        <v>9.1566265060241001E-2</v>
      </c>
      <c r="F279" s="6">
        <v>9.1566265060241001E-2</v>
      </c>
    </row>
    <row r="280" spans="1:6" x14ac:dyDescent="0.25">
      <c r="A280" t="s">
        <v>198</v>
      </c>
      <c r="B280" t="s">
        <v>13</v>
      </c>
      <c r="C280" s="5" t="s">
        <v>240</v>
      </c>
      <c r="D280">
        <v>50</v>
      </c>
      <c r="E280">
        <v>0.120481927710843</v>
      </c>
      <c r="F280" s="6">
        <v>0.120481927710843</v>
      </c>
    </row>
    <row r="281" spans="1:6" x14ac:dyDescent="0.25">
      <c r="A281" t="s">
        <v>198</v>
      </c>
      <c r="B281" t="s">
        <v>14</v>
      </c>
      <c r="C281" s="5" t="s">
        <v>240</v>
      </c>
      <c r="D281">
        <v>37</v>
      </c>
      <c r="E281">
        <v>8.91566265060241E-2</v>
      </c>
      <c r="F281" s="6">
        <v>8.91566265060241E-2</v>
      </c>
    </row>
    <row r="282" spans="1:6" x14ac:dyDescent="0.25">
      <c r="A282" t="s">
        <v>198</v>
      </c>
      <c r="B282" t="s">
        <v>15</v>
      </c>
      <c r="C282" s="5" t="s">
        <v>240</v>
      </c>
      <c r="D282">
        <v>32</v>
      </c>
      <c r="E282">
        <v>7.7108433734939794E-2</v>
      </c>
      <c r="F282" s="6">
        <v>7.7108433734939794E-2</v>
      </c>
    </row>
    <row r="283" spans="1:6" x14ac:dyDescent="0.25">
      <c r="A283" t="s">
        <v>198</v>
      </c>
      <c r="B283" t="s">
        <v>31</v>
      </c>
      <c r="C283" s="5" t="s">
        <v>240</v>
      </c>
      <c r="D283">
        <v>47</v>
      </c>
      <c r="E283">
        <v>0.11325301204819301</v>
      </c>
      <c r="F283" s="6">
        <v>0.11325301204819301</v>
      </c>
    </row>
    <row r="284" spans="1:6" x14ac:dyDescent="0.25">
      <c r="A284" t="s">
        <v>198</v>
      </c>
      <c r="B284" t="s">
        <v>32</v>
      </c>
      <c r="C284" s="5" t="s">
        <v>240</v>
      </c>
      <c r="D284">
        <v>49</v>
      </c>
      <c r="E284">
        <v>0.118072289156627</v>
      </c>
      <c r="F284" s="6">
        <v>0.118072289156627</v>
      </c>
    </row>
    <row r="285" spans="1:6" x14ac:dyDescent="0.25">
      <c r="A285" t="s">
        <v>198</v>
      </c>
      <c r="B285" t="s">
        <v>33</v>
      </c>
      <c r="C285" s="5" t="s">
        <v>240</v>
      </c>
      <c r="D285">
        <v>41</v>
      </c>
      <c r="E285">
        <v>9.8795180722891604E-2</v>
      </c>
      <c r="F285" s="6">
        <v>9.8795180722891604E-2</v>
      </c>
    </row>
    <row r="286" spans="1:6" x14ac:dyDescent="0.25">
      <c r="A286" t="s">
        <v>199</v>
      </c>
      <c r="B286" t="s">
        <v>5</v>
      </c>
      <c r="C286" s="5" t="s">
        <v>241</v>
      </c>
      <c r="D286">
        <v>32</v>
      </c>
      <c r="E286">
        <v>7.7108433734939794E-2</v>
      </c>
      <c r="F286" s="6">
        <v>7.7108433734939794E-2</v>
      </c>
    </row>
    <row r="287" spans="1:6" x14ac:dyDescent="0.25">
      <c r="A287" t="s">
        <v>199</v>
      </c>
      <c r="B287" t="s">
        <v>6</v>
      </c>
      <c r="C287" s="5" t="s">
        <v>241</v>
      </c>
      <c r="D287">
        <v>46</v>
      </c>
      <c r="E287">
        <v>0.11084337349397599</v>
      </c>
      <c r="F287" s="6">
        <v>0.11084337349397599</v>
      </c>
    </row>
    <row r="288" spans="1:6" x14ac:dyDescent="0.25">
      <c r="A288" t="s">
        <v>199</v>
      </c>
      <c r="B288" t="s">
        <v>7</v>
      </c>
      <c r="C288" s="5" t="s">
        <v>241</v>
      </c>
      <c r="D288">
        <v>44</v>
      </c>
      <c r="E288">
        <v>0.106024096385542</v>
      </c>
      <c r="F288" s="6">
        <v>0.106024096385542</v>
      </c>
    </row>
    <row r="289" spans="1:6" x14ac:dyDescent="0.25">
      <c r="A289" t="s">
        <v>199</v>
      </c>
      <c r="B289" t="s">
        <v>12</v>
      </c>
      <c r="C289" s="5" t="s">
        <v>241</v>
      </c>
      <c r="D289">
        <v>29</v>
      </c>
      <c r="E289">
        <v>6.9879518072289204E-2</v>
      </c>
      <c r="F289" s="6">
        <v>6.9879518072289204E-2</v>
      </c>
    </row>
    <row r="290" spans="1:6" x14ac:dyDescent="0.25">
      <c r="A290" t="s">
        <v>199</v>
      </c>
      <c r="B290" t="s">
        <v>13</v>
      </c>
      <c r="C290" s="5" t="s">
        <v>241</v>
      </c>
      <c r="D290">
        <v>48</v>
      </c>
      <c r="E290">
        <v>0.11566265060241</v>
      </c>
      <c r="F290" s="6">
        <v>0.11566265060241</v>
      </c>
    </row>
    <row r="291" spans="1:6" x14ac:dyDescent="0.25">
      <c r="A291" t="s">
        <v>199</v>
      </c>
      <c r="B291" t="s">
        <v>14</v>
      </c>
      <c r="C291" s="5" t="s">
        <v>241</v>
      </c>
      <c r="D291">
        <v>46</v>
      </c>
      <c r="E291">
        <v>0.11084337349397599</v>
      </c>
      <c r="F291" s="6">
        <v>0.11084337349397599</v>
      </c>
    </row>
    <row r="292" spans="1:6" x14ac:dyDescent="0.25">
      <c r="A292" t="s">
        <v>199</v>
      </c>
      <c r="B292" t="s">
        <v>15</v>
      </c>
      <c r="C292" s="5" t="s">
        <v>241</v>
      </c>
      <c r="D292">
        <v>46</v>
      </c>
      <c r="E292">
        <v>0.11084337349397599</v>
      </c>
      <c r="F292" s="6">
        <v>0.11084337349397599</v>
      </c>
    </row>
    <row r="293" spans="1:6" x14ac:dyDescent="0.25">
      <c r="A293" t="s">
        <v>199</v>
      </c>
      <c r="B293" t="s">
        <v>31</v>
      </c>
      <c r="C293" s="5" t="s">
        <v>241</v>
      </c>
      <c r="D293">
        <v>41</v>
      </c>
      <c r="E293">
        <v>9.8795180722891604E-2</v>
      </c>
      <c r="F293" s="6">
        <v>9.8795180722891604E-2</v>
      </c>
    </row>
    <row r="294" spans="1:6" x14ac:dyDescent="0.25">
      <c r="A294" t="s">
        <v>199</v>
      </c>
      <c r="B294" t="s">
        <v>32</v>
      </c>
      <c r="C294" s="5" t="s">
        <v>241</v>
      </c>
      <c r="D294">
        <v>48</v>
      </c>
      <c r="E294">
        <v>0.11566265060241</v>
      </c>
      <c r="F294" s="6">
        <v>0.11566265060241</v>
      </c>
    </row>
    <row r="295" spans="1:6" x14ac:dyDescent="0.25">
      <c r="A295" t="s">
        <v>199</v>
      </c>
      <c r="B295" t="s">
        <v>33</v>
      </c>
      <c r="C295" s="5" t="s">
        <v>241</v>
      </c>
      <c r="D295">
        <v>35</v>
      </c>
      <c r="E295">
        <v>8.4337349397590397E-2</v>
      </c>
      <c r="F295" s="6">
        <v>8.4337349397590397E-2</v>
      </c>
    </row>
    <row r="296" spans="1:6" x14ac:dyDescent="0.25">
      <c r="A296" t="s">
        <v>200</v>
      </c>
      <c r="B296" t="s">
        <v>5</v>
      </c>
      <c r="C296" s="5" t="s">
        <v>242</v>
      </c>
      <c r="D296">
        <v>38</v>
      </c>
      <c r="E296">
        <v>9.1566265060241001E-2</v>
      </c>
      <c r="F296" s="6">
        <v>9.1566265060241001E-2</v>
      </c>
    </row>
    <row r="297" spans="1:6" x14ac:dyDescent="0.25">
      <c r="A297" t="s">
        <v>200</v>
      </c>
      <c r="B297" t="s">
        <v>6</v>
      </c>
      <c r="C297" s="5" t="s">
        <v>242</v>
      </c>
      <c r="D297">
        <v>48</v>
      </c>
      <c r="E297">
        <v>0.11566265060241</v>
      </c>
      <c r="F297" s="6">
        <v>0.11566265060241</v>
      </c>
    </row>
    <row r="298" spans="1:6" x14ac:dyDescent="0.25">
      <c r="A298" t="s">
        <v>200</v>
      </c>
      <c r="B298" t="s">
        <v>7</v>
      </c>
      <c r="C298" s="5" t="s">
        <v>242</v>
      </c>
      <c r="D298">
        <v>35</v>
      </c>
      <c r="E298">
        <v>8.4337349397590397E-2</v>
      </c>
      <c r="F298" s="6">
        <v>8.4337349397590397E-2</v>
      </c>
    </row>
    <row r="299" spans="1:6" x14ac:dyDescent="0.25">
      <c r="A299" t="s">
        <v>200</v>
      </c>
      <c r="B299" t="s">
        <v>12</v>
      </c>
      <c r="C299" s="5" t="s">
        <v>242</v>
      </c>
      <c r="D299">
        <v>34</v>
      </c>
      <c r="E299">
        <v>8.1927710843373497E-2</v>
      </c>
      <c r="F299" s="6">
        <v>8.1927710843373497E-2</v>
      </c>
    </row>
    <row r="300" spans="1:6" x14ac:dyDescent="0.25">
      <c r="A300" t="s">
        <v>200</v>
      </c>
      <c r="B300" t="s">
        <v>13</v>
      </c>
      <c r="C300" s="5" t="s">
        <v>242</v>
      </c>
      <c r="D300">
        <v>42</v>
      </c>
      <c r="E300">
        <v>0.101204819277108</v>
      </c>
      <c r="F300" s="6">
        <v>0.101204819277108</v>
      </c>
    </row>
    <row r="301" spans="1:6" x14ac:dyDescent="0.25">
      <c r="A301" t="s">
        <v>200</v>
      </c>
      <c r="B301" t="s">
        <v>14</v>
      </c>
      <c r="C301" s="5" t="s">
        <v>242</v>
      </c>
      <c r="D301">
        <v>43</v>
      </c>
      <c r="E301">
        <v>0.103614457831325</v>
      </c>
      <c r="F301" s="6">
        <v>0.103614457831325</v>
      </c>
    </row>
    <row r="302" spans="1:6" x14ac:dyDescent="0.25">
      <c r="A302" t="s">
        <v>200</v>
      </c>
      <c r="B302" t="s">
        <v>15</v>
      </c>
      <c r="C302" s="5" t="s">
        <v>242</v>
      </c>
      <c r="D302">
        <v>43</v>
      </c>
      <c r="E302">
        <v>0.103614457831325</v>
      </c>
      <c r="F302" s="6">
        <v>0.103614457831325</v>
      </c>
    </row>
    <row r="303" spans="1:6" x14ac:dyDescent="0.25">
      <c r="A303" t="s">
        <v>200</v>
      </c>
      <c r="B303" t="s">
        <v>31</v>
      </c>
      <c r="C303" s="5" t="s">
        <v>242</v>
      </c>
      <c r="D303">
        <v>32</v>
      </c>
      <c r="E303">
        <v>7.7108433734939794E-2</v>
      </c>
      <c r="F303" s="6">
        <v>7.7108433734939794E-2</v>
      </c>
    </row>
    <row r="304" spans="1:6" x14ac:dyDescent="0.25">
      <c r="A304" t="s">
        <v>200</v>
      </c>
      <c r="B304" t="s">
        <v>32</v>
      </c>
      <c r="C304" s="5" t="s">
        <v>242</v>
      </c>
      <c r="D304">
        <v>45</v>
      </c>
      <c r="E304">
        <v>0.108433734939759</v>
      </c>
      <c r="F304" s="6">
        <v>0.108433734939759</v>
      </c>
    </row>
    <row r="305" spans="1:6" x14ac:dyDescent="0.25">
      <c r="A305" t="s">
        <v>200</v>
      </c>
      <c r="B305" t="s">
        <v>33</v>
      </c>
      <c r="C305" s="5" t="s">
        <v>242</v>
      </c>
      <c r="D305">
        <v>55</v>
      </c>
      <c r="E305">
        <v>0.132530120481928</v>
      </c>
      <c r="F305" s="6">
        <v>0.132530120481928</v>
      </c>
    </row>
    <row r="306" spans="1:6" x14ac:dyDescent="0.25">
      <c r="A306" t="s">
        <v>201</v>
      </c>
      <c r="B306" t="s">
        <v>5</v>
      </c>
      <c r="C306" s="5" t="s">
        <v>243</v>
      </c>
      <c r="D306">
        <v>26</v>
      </c>
      <c r="E306">
        <v>6.26506024096386E-2</v>
      </c>
      <c r="F306" s="6">
        <v>6.26506024096386E-2</v>
      </c>
    </row>
    <row r="307" spans="1:6" x14ac:dyDescent="0.25">
      <c r="A307" t="s">
        <v>201</v>
      </c>
      <c r="B307" t="s">
        <v>6</v>
      </c>
      <c r="C307" s="5" t="s">
        <v>243</v>
      </c>
      <c r="D307">
        <v>57</v>
      </c>
      <c r="E307">
        <v>0.13734939759036099</v>
      </c>
      <c r="F307" s="6">
        <v>0.13734939759036099</v>
      </c>
    </row>
    <row r="308" spans="1:6" x14ac:dyDescent="0.25">
      <c r="A308" t="s">
        <v>201</v>
      </c>
      <c r="B308" t="s">
        <v>7</v>
      </c>
      <c r="C308" s="5" t="s">
        <v>243</v>
      </c>
      <c r="D308">
        <v>41</v>
      </c>
      <c r="E308">
        <v>9.8795180722891604E-2</v>
      </c>
      <c r="F308" s="6">
        <v>9.8795180722891604E-2</v>
      </c>
    </row>
    <row r="309" spans="1:6" x14ac:dyDescent="0.25">
      <c r="A309" t="s">
        <v>201</v>
      </c>
      <c r="B309" t="s">
        <v>12</v>
      </c>
      <c r="C309" s="5" t="s">
        <v>243</v>
      </c>
      <c r="D309">
        <v>45</v>
      </c>
      <c r="E309">
        <v>0.108433734939759</v>
      </c>
      <c r="F309" s="6">
        <v>0.108433734939759</v>
      </c>
    </row>
    <row r="310" spans="1:6" x14ac:dyDescent="0.25">
      <c r="A310" t="s">
        <v>201</v>
      </c>
      <c r="B310" t="s">
        <v>13</v>
      </c>
      <c r="C310" s="5" t="s">
        <v>243</v>
      </c>
      <c r="D310">
        <v>35</v>
      </c>
      <c r="E310">
        <v>8.4337349397590397E-2</v>
      </c>
      <c r="F310" s="6">
        <v>8.4337349397590397E-2</v>
      </c>
    </row>
    <row r="311" spans="1:6" x14ac:dyDescent="0.25">
      <c r="A311" t="s">
        <v>201</v>
      </c>
      <c r="B311" t="s">
        <v>14</v>
      </c>
      <c r="C311" s="5" t="s">
        <v>243</v>
      </c>
      <c r="D311">
        <v>39</v>
      </c>
      <c r="E311">
        <v>9.3975903614457804E-2</v>
      </c>
      <c r="F311" s="6">
        <v>9.3975903614457804E-2</v>
      </c>
    </row>
    <row r="312" spans="1:6" x14ac:dyDescent="0.25">
      <c r="A312" t="s">
        <v>201</v>
      </c>
      <c r="B312" t="s">
        <v>15</v>
      </c>
      <c r="C312" s="5" t="s">
        <v>243</v>
      </c>
      <c r="D312">
        <v>52</v>
      </c>
      <c r="E312">
        <v>0.12530120481927701</v>
      </c>
      <c r="F312" s="6">
        <v>0.12530120481927701</v>
      </c>
    </row>
    <row r="313" spans="1:6" x14ac:dyDescent="0.25">
      <c r="A313" t="s">
        <v>201</v>
      </c>
      <c r="B313" t="s">
        <v>31</v>
      </c>
      <c r="C313" s="5" t="s">
        <v>243</v>
      </c>
      <c r="D313">
        <v>35</v>
      </c>
      <c r="E313">
        <v>8.4337349397590397E-2</v>
      </c>
      <c r="F313" s="6">
        <v>8.4337349397590397E-2</v>
      </c>
    </row>
    <row r="314" spans="1:6" x14ac:dyDescent="0.25">
      <c r="A314" t="s">
        <v>201</v>
      </c>
      <c r="B314" t="s">
        <v>32</v>
      </c>
      <c r="C314" s="5" t="s">
        <v>243</v>
      </c>
      <c r="D314">
        <v>40</v>
      </c>
      <c r="E314">
        <v>9.6385542168674704E-2</v>
      </c>
      <c r="F314" s="6">
        <v>9.6385542168674704E-2</v>
      </c>
    </row>
    <row r="315" spans="1:6" x14ac:dyDescent="0.25">
      <c r="A315" t="s">
        <v>201</v>
      </c>
      <c r="B315" t="s">
        <v>33</v>
      </c>
      <c r="C315" s="5" t="s">
        <v>243</v>
      </c>
      <c r="D315">
        <v>45</v>
      </c>
      <c r="E315">
        <v>0.108433734939759</v>
      </c>
      <c r="F315" s="6">
        <v>0.108433734939759</v>
      </c>
    </row>
    <row r="316" spans="1:6" x14ac:dyDescent="0.25">
      <c r="A316" t="s">
        <v>202</v>
      </c>
      <c r="B316" t="s">
        <v>5</v>
      </c>
      <c r="C316" s="5" t="s">
        <v>244</v>
      </c>
      <c r="D316">
        <v>29</v>
      </c>
      <c r="E316">
        <v>6.9879518072289204E-2</v>
      </c>
      <c r="F316" s="6">
        <v>6.9879518072289204E-2</v>
      </c>
    </row>
    <row r="317" spans="1:6" x14ac:dyDescent="0.25">
      <c r="A317" t="s">
        <v>202</v>
      </c>
      <c r="B317" t="s">
        <v>6</v>
      </c>
      <c r="C317" s="5" t="s">
        <v>244</v>
      </c>
      <c r="D317">
        <v>54</v>
      </c>
      <c r="E317">
        <v>0.130120481927711</v>
      </c>
      <c r="F317" s="6">
        <v>0.130120481927711</v>
      </c>
    </row>
    <row r="318" spans="1:6" x14ac:dyDescent="0.25">
      <c r="A318" t="s">
        <v>202</v>
      </c>
      <c r="B318" t="s">
        <v>7</v>
      </c>
      <c r="C318" s="5" t="s">
        <v>244</v>
      </c>
      <c r="D318">
        <v>34</v>
      </c>
      <c r="E318">
        <v>8.1927710843373497E-2</v>
      </c>
      <c r="F318" s="6">
        <v>8.1927710843373497E-2</v>
      </c>
    </row>
    <row r="319" spans="1:6" x14ac:dyDescent="0.25">
      <c r="A319" t="s">
        <v>202</v>
      </c>
      <c r="B319" t="s">
        <v>12</v>
      </c>
      <c r="C319" s="5" t="s">
        <v>244</v>
      </c>
      <c r="D319">
        <v>42</v>
      </c>
      <c r="E319">
        <v>0.101204819277108</v>
      </c>
      <c r="F319" s="6">
        <v>0.101204819277108</v>
      </c>
    </row>
    <row r="320" spans="1:6" x14ac:dyDescent="0.25">
      <c r="A320" t="s">
        <v>202</v>
      </c>
      <c r="B320" t="s">
        <v>13</v>
      </c>
      <c r="C320" s="5" t="s">
        <v>244</v>
      </c>
      <c r="D320">
        <v>31</v>
      </c>
      <c r="E320">
        <v>7.4698795180722893E-2</v>
      </c>
      <c r="F320" s="6">
        <v>7.4698795180722893E-2</v>
      </c>
    </row>
    <row r="321" spans="1:6" x14ac:dyDescent="0.25">
      <c r="A321" t="s">
        <v>202</v>
      </c>
      <c r="B321" t="s">
        <v>14</v>
      </c>
      <c r="C321" s="5" t="s">
        <v>244</v>
      </c>
      <c r="D321">
        <v>57</v>
      </c>
      <c r="E321">
        <v>0.13734939759036099</v>
      </c>
      <c r="F321" s="6">
        <v>0.13734939759036099</v>
      </c>
    </row>
    <row r="322" spans="1:6" x14ac:dyDescent="0.25">
      <c r="A322" t="s">
        <v>202</v>
      </c>
      <c r="B322" t="s">
        <v>15</v>
      </c>
      <c r="C322" s="5" t="s">
        <v>244</v>
      </c>
      <c r="D322">
        <v>39</v>
      </c>
      <c r="E322">
        <v>9.3975903614457804E-2</v>
      </c>
      <c r="F322" s="6">
        <v>9.3975903614457804E-2</v>
      </c>
    </row>
    <row r="323" spans="1:6" x14ac:dyDescent="0.25">
      <c r="A323" t="s">
        <v>202</v>
      </c>
      <c r="B323" t="s">
        <v>31</v>
      </c>
      <c r="C323" s="5" t="s">
        <v>244</v>
      </c>
      <c r="D323">
        <v>19</v>
      </c>
      <c r="E323">
        <v>4.57831325301205E-2</v>
      </c>
      <c r="F323" s="6">
        <v>4.57831325301205E-2</v>
      </c>
    </row>
    <row r="324" spans="1:6" x14ac:dyDescent="0.25">
      <c r="A324" t="s">
        <v>202</v>
      </c>
      <c r="B324" t="s">
        <v>32</v>
      </c>
      <c r="C324" s="5" t="s">
        <v>244</v>
      </c>
      <c r="D324">
        <v>52</v>
      </c>
      <c r="E324">
        <v>0.12530120481927701</v>
      </c>
      <c r="F324" s="6">
        <v>0.12530120481927701</v>
      </c>
    </row>
    <row r="325" spans="1:6" x14ac:dyDescent="0.25">
      <c r="A325" t="s">
        <v>202</v>
      </c>
      <c r="B325" t="s">
        <v>33</v>
      </c>
      <c r="C325" s="5" t="s">
        <v>244</v>
      </c>
      <c r="D325">
        <v>58</v>
      </c>
      <c r="E325">
        <v>0.13975903614457799</v>
      </c>
      <c r="F325" s="6">
        <v>0.13975903614457799</v>
      </c>
    </row>
    <row r="326" spans="1:6" x14ac:dyDescent="0.25">
      <c r="A326" t="s">
        <v>203</v>
      </c>
      <c r="B326" t="s">
        <v>5</v>
      </c>
      <c r="C326" s="5" t="s">
        <v>245</v>
      </c>
      <c r="D326">
        <v>19</v>
      </c>
      <c r="E326">
        <v>4.57831325301205E-2</v>
      </c>
      <c r="F326" s="6">
        <v>4.57831325301205E-2</v>
      </c>
    </row>
    <row r="327" spans="1:6" x14ac:dyDescent="0.25">
      <c r="A327" t="s">
        <v>203</v>
      </c>
      <c r="B327" t="s">
        <v>6</v>
      </c>
      <c r="C327" s="5" t="s">
        <v>245</v>
      </c>
      <c r="D327">
        <v>36</v>
      </c>
      <c r="E327">
        <v>8.67469879518072E-2</v>
      </c>
      <c r="F327" s="6">
        <v>8.67469879518072E-2</v>
      </c>
    </row>
    <row r="328" spans="1:6" x14ac:dyDescent="0.25">
      <c r="A328" t="s">
        <v>203</v>
      </c>
      <c r="B328" t="s">
        <v>7</v>
      </c>
      <c r="C328" s="5" t="s">
        <v>245</v>
      </c>
      <c r="D328">
        <v>71</v>
      </c>
      <c r="E328">
        <v>0.17108433734939801</v>
      </c>
      <c r="F328" s="6">
        <v>0.17108433734939801</v>
      </c>
    </row>
    <row r="329" spans="1:6" x14ac:dyDescent="0.25">
      <c r="A329" t="s">
        <v>203</v>
      </c>
      <c r="B329" t="s">
        <v>12</v>
      </c>
      <c r="C329" s="5" t="s">
        <v>245</v>
      </c>
      <c r="D329">
        <v>26</v>
      </c>
      <c r="E329">
        <v>6.26506024096386E-2</v>
      </c>
      <c r="F329" s="6">
        <v>6.26506024096386E-2</v>
      </c>
    </row>
    <row r="330" spans="1:6" x14ac:dyDescent="0.25">
      <c r="A330" t="s">
        <v>203</v>
      </c>
      <c r="B330" t="s">
        <v>13</v>
      </c>
      <c r="C330" s="5" t="s">
        <v>245</v>
      </c>
      <c r="D330">
        <v>26</v>
      </c>
      <c r="E330">
        <v>6.26506024096386E-2</v>
      </c>
      <c r="F330" s="6">
        <v>6.26506024096386E-2</v>
      </c>
    </row>
    <row r="331" spans="1:6" x14ac:dyDescent="0.25">
      <c r="A331" t="s">
        <v>203</v>
      </c>
      <c r="B331" t="s">
        <v>14</v>
      </c>
      <c r="C331" s="5" t="s">
        <v>245</v>
      </c>
      <c r="D331">
        <v>67</v>
      </c>
      <c r="E331">
        <v>0.16144578313253</v>
      </c>
      <c r="F331" s="6">
        <v>0.16144578313253</v>
      </c>
    </row>
    <row r="332" spans="1:6" x14ac:dyDescent="0.25">
      <c r="A332" t="s">
        <v>203</v>
      </c>
      <c r="B332" t="s">
        <v>15</v>
      </c>
      <c r="C332" s="5" t="s">
        <v>245</v>
      </c>
      <c r="D332">
        <v>45</v>
      </c>
      <c r="E332">
        <v>0.108433734939759</v>
      </c>
      <c r="F332" s="6">
        <v>0.108433734939759</v>
      </c>
    </row>
    <row r="333" spans="1:6" x14ac:dyDescent="0.25">
      <c r="A333" t="s">
        <v>203</v>
      </c>
      <c r="B333" t="s">
        <v>31</v>
      </c>
      <c r="C333" s="5" t="s">
        <v>245</v>
      </c>
      <c r="D333">
        <v>16</v>
      </c>
      <c r="E333">
        <v>3.8554216867469897E-2</v>
      </c>
      <c r="F333" s="6">
        <v>3.8554216867469897E-2</v>
      </c>
    </row>
    <row r="334" spans="1:6" x14ac:dyDescent="0.25">
      <c r="A334" t="s">
        <v>203</v>
      </c>
      <c r="B334" t="s">
        <v>32</v>
      </c>
      <c r="C334" s="5" t="s">
        <v>245</v>
      </c>
      <c r="D334">
        <v>44</v>
      </c>
      <c r="E334">
        <v>0.106024096385542</v>
      </c>
      <c r="F334" s="6">
        <v>0.106024096385542</v>
      </c>
    </row>
    <row r="335" spans="1:6" x14ac:dyDescent="0.25">
      <c r="A335" t="s">
        <v>203</v>
      </c>
      <c r="B335" t="s">
        <v>33</v>
      </c>
      <c r="C335" s="5" t="s">
        <v>245</v>
      </c>
      <c r="D335">
        <v>65</v>
      </c>
      <c r="E335">
        <v>0.156626506024096</v>
      </c>
      <c r="F335" s="6">
        <v>0.156626506024096</v>
      </c>
    </row>
    <row r="336" spans="1:6" x14ac:dyDescent="0.25">
      <c r="A336" t="s">
        <v>99</v>
      </c>
      <c r="B336" t="s">
        <v>56</v>
      </c>
      <c r="C336" t="s">
        <v>56</v>
      </c>
      <c r="D336">
        <v>56</v>
      </c>
      <c r="E336">
        <v>0.134939759036145</v>
      </c>
      <c r="F336" s="6">
        <v>0.134939759036145</v>
      </c>
    </row>
    <row r="337" spans="1:6" x14ac:dyDescent="0.25">
      <c r="A337" t="s">
        <v>99</v>
      </c>
      <c r="B337" t="s">
        <v>5</v>
      </c>
      <c r="C337" t="s">
        <v>5</v>
      </c>
      <c r="D337">
        <v>359</v>
      </c>
      <c r="E337">
        <v>0.86506024096385503</v>
      </c>
      <c r="F337" s="6">
        <v>0.86506024096385503</v>
      </c>
    </row>
    <row r="338" spans="1:6" x14ac:dyDescent="0.25">
      <c r="A338" t="s">
        <v>100</v>
      </c>
      <c r="B338" t="s">
        <v>56</v>
      </c>
      <c r="C338" t="s">
        <v>56</v>
      </c>
      <c r="D338">
        <v>327</v>
      </c>
      <c r="E338">
        <v>0.787951807228916</v>
      </c>
      <c r="F338" s="6">
        <v>0.787951807228916</v>
      </c>
    </row>
    <row r="339" spans="1:6" x14ac:dyDescent="0.25">
      <c r="A339" t="s">
        <v>100</v>
      </c>
      <c r="B339" t="s">
        <v>5</v>
      </c>
      <c r="C339" t="s">
        <v>5</v>
      </c>
      <c r="D339">
        <v>88</v>
      </c>
      <c r="E339">
        <v>0.212048192771084</v>
      </c>
      <c r="F339" s="6">
        <v>0.212048192771084</v>
      </c>
    </row>
    <row r="340" spans="1:6" x14ac:dyDescent="0.25">
      <c r="A340" t="s">
        <v>101</v>
      </c>
      <c r="B340" t="s">
        <v>56</v>
      </c>
      <c r="C340" t="s">
        <v>56</v>
      </c>
      <c r="D340">
        <v>196</v>
      </c>
      <c r="E340">
        <v>0.472289156626506</v>
      </c>
      <c r="F340" s="6">
        <v>0.472289156626506</v>
      </c>
    </row>
    <row r="341" spans="1:6" x14ac:dyDescent="0.25">
      <c r="A341" t="s">
        <v>101</v>
      </c>
      <c r="B341" t="s">
        <v>5</v>
      </c>
      <c r="C341" t="s">
        <v>5</v>
      </c>
      <c r="D341">
        <v>219</v>
      </c>
      <c r="E341">
        <v>0.52771084337349405</v>
      </c>
      <c r="F341" s="6">
        <v>0.52771084337349405</v>
      </c>
    </row>
    <row r="342" spans="1:6" x14ac:dyDescent="0.25">
      <c r="A342" t="s">
        <v>102</v>
      </c>
      <c r="B342" t="s">
        <v>56</v>
      </c>
      <c r="C342" t="s">
        <v>56</v>
      </c>
      <c r="D342">
        <v>160</v>
      </c>
      <c r="E342">
        <v>0.38554216867469898</v>
      </c>
      <c r="F342" s="6">
        <v>0.38554216867469898</v>
      </c>
    </row>
    <row r="343" spans="1:6" x14ac:dyDescent="0.25">
      <c r="A343" t="s">
        <v>102</v>
      </c>
      <c r="B343" t="s">
        <v>5</v>
      </c>
      <c r="C343" t="s">
        <v>5</v>
      </c>
      <c r="D343">
        <v>255</v>
      </c>
      <c r="E343">
        <v>0.61445783132530096</v>
      </c>
      <c r="F343" s="6">
        <v>0.61445783132530096</v>
      </c>
    </row>
    <row r="344" spans="1:6" x14ac:dyDescent="0.25">
      <c r="A344" t="s">
        <v>103</v>
      </c>
      <c r="B344" t="s">
        <v>56</v>
      </c>
      <c r="C344" t="s">
        <v>56</v>
      </c>
      <c r="D344">
        <v>360</v>
      </c>
      <c r="E344">
        <v>0.86746987951807197</v>
      </c>
      <c r="F344" s="6">
        <v>0.86746987951807197</v>
      </c>
    </row>
    <row r="345" spans="1:6" x14ac:dyDescent="0.25">
      <c r="A345" t="s">
        <v>103</v>
      </c>
      <c r="B345" t="s">
        <v>5</v>
      </c>
      <c r="C345" t="s">
        <v>5</v>
      </c>
      <c r="D345">
        <v>55</v>
      </c>
      <c r="E345">
        <v>0.132530120481928</v>
      </c>
      <c r="F345" s="6">
        <v>0.132530120481928</v>
      </c>
    </row>
    <row r="346" spans="1:6" x14ac:dyDescent="0.25">
      <c r="A346" t="s">
        <v>104</v>
      </c>
      <c r="B346" t="s">
        <v>56</v>
      </c>
      <c r="C346" t="s">
        <v>56</v>
      </c>
      <c r="D346">
        <v>272</v>
      </c>
      <c r="E346">
        <v>0.65542168674698797</v>
      </c>
      <c r="F346" s="6">
        <v>0.65542168674698797</v>
      </c>
    </row>
    <row r="347" spans="1:6" x14ac:dyDescent="0.25">
      <c r="A347" t="s">
        <v>104</v>
      </c>
      <c r="B347" t="s">
        <v>5</v>
      </c>
      <c r="C347" t="s">
        <v>5</v>
      </c>
      <c r="D347">
        <v>143</v>
      </c>
      <c r="E347">
        <v>0.34457831325301203</v>
      </c>
      <c r="F347" s="6">
        <v>0.34457831325301203</v>
      </c>
    </row>
    <row r="348" spans="1:6" x14ac:dyDescent="0.25">
      <c r="A348" t="s">
        <v>105</v>
      </c>
      <c r="B348" t="s">
        <v>56</v>
      </c>
      <c r="C348" t="s">
        <v>56</v>
      </c>
      <c r="D348">
        <v>301</v>
      </c>
      <c r="E348">
        <v>0.72530120481927696</v>
      </c>
      <c r="F348" s="6">
        <v>0.72530120481927696</v>
      </c>
    </row>
    <row r="349" spans="1:6" x14ac:dyDescent="0.25">
      <c r="A349" t="s">
        <v>105</v>
      </c>
      <c r="B349" t="s">
        <v>5</v>
      </c>
      <c r="C349" t="s">
        <v>5</v>
      </c>
      <c r="D349">
        <v>114</v>
      </c>
      <c r="E349">
        <v>0.27469879518072299</v>
      </c>
      <c r="F349" s="6">
        <v>0.27469879518072299</v>
      </c>
    </row>
    <row r="350" spans="1:6" x14ac:dyDescent="0.25">
      <c r="A350" t="s">
        <v>106</v>
      </c>
      <c r="B350" t="s">
        <v>56</v>
      </c>
      <c r="C350" t="s">
        <v>56</v>
      </c>
      <c r="D350">
        <v>236</v>
      </c>
      <c r="E350">
        <v>0.56867469879518096</v>
      </c>
      <c r="F350" s="6">
        <v>0.56867469879518096</v>
      </c>
    </row>
    <row r="351" spans="1:6" x14ac:dyDescent="0.25">
      <c r="A351" t="s">
        <v>106</v>
      </c>
      <c r="B351" t="s">
        <v>5</v>
      </c>
      <c r="C351" t="s">
        <v>5</v>
      </c>
      <c r="D351">
        <v>179</v>
      </c>
      <c r="E351">
        <v>0.43132530120481899</v>
      </c>
      <c r="F351" s="6">
        <v>0.43132530120481899</v>
      </c>
    </row>
    <row r="352" spans="1:6" x14ac:dyDescent="0.25">
      <c r="A352" t="s">
        <v>107</v>
      </c>
      <c r="B352" t="s">
        <v>56</v>
      </c>
      <c r="C352" t="s">
        <v>56</v>
      </c>
      <c r="D352">
        <v>340</v>
      </c>
      <c r="E352">
        <v>0.81927710843373502</v>
      </c>
      <c r="F352" s="6">
        <v>0.81927710843373502</v>
      </c>
    </row>
    <row r="353" spans="1:6" x14ac:dyDescent="0.25">
      <c r="A353" t="s">
        <v>107</v>
      </c>
      <c r="B353" t="s">
        <v>5</v>
      </c>
      <c r="C353" t="s">
        <v>5</v>
      </c>
      <c r="D353">
        <v>75</v>
      </c>
      <c r="E353">
        <v>0.180722891566265</v>
      </c>
      <c r="F353" s="6">
        <v>0.180722891566265</v>
      </c>
    </row>
    <row r="354" spans="1:6" x14ac:dyDescent="0.25">
      <c r="A354" t="s">
        <v>108</v>
      </c>
      <c r="B354" t="s">
        <v>56</v>
      </c>
      <c r="C354" t="s">
        <v>56</v>
      </c>
      <c r="D354">
        <v>258</v>
      </c>
      <c r="E354">
        <v>0.62168674698795201</v>
      </c>
      <c r="F354" s="6">
        <v>0.62168674698795201</v>
      </c>
    </row>
    <row r="355" spans="1:6" x14ac:dyDescent="0.25">
      <c r="A355" t="s">
        <v>108</v>
      </c>
      <c r="B355" t="s">
        <v>5</v>
      </c>
      <c r="C355" t="s">
        <v>5</v>
      </c>
      <c r="D355">
        <v>157</v>
      </c>
      <c r="E355">
        <v>0.37831325301204799</v>
      </c>
      <c r="F355" s="6">
        <v>0.37831325301204799</v>
      </c>
    </row>
    <row r="356" spans="1:6" x14ac:dyDescent="0.25">
      <c r="A356" t="s">
        <v>109</v>
      </c>
      <c r="B356" t="s">
        <v>56</v>
      </c>
      <c r="C356" t="s">
        <v>56</v>
      </c>
      <c r="D356">
        <v>362</v>
      </c>
      <c r="E356">
        <v>0.87228915662650597</v>
      </c>
      <c r="F356" s="6">
        <v>0.87228915662650597</v>
      </c>
    </row>
    <row r="357" spans="1:6" x14ac:dyDescent="0.25">
      <c r="A357" t="s">
        <v>109</v>
      </c>
      <c r="B357" t="s">
        <v>5</v>
      </c>
      <c r="C357" t="s">
        <v>5</v>
      </c>
      <c r="D357">
        <v>53</v>
      </c>
      <c r="E357">
        <v>0.127710843373494</v>
      </c>
      <c r="F357" s="6">
        <v>0.127710843373494</v>
      </c>
    </row>
    <row r="358" spans="1:6" x14ac:dyDescent="0.25">
      <c r="A358" t="s">
        <v>110</v>
      </c>
      <c r="B358" t="s">
        <v>56</v>
      </c>
      <c r="C358" t="s">
        <v>56</v>
      </c>
      <c r="D358">
        <v>263</v>
      </c>
      <c r="E358">
        <v>0.63373493975903605</v>
      </c>
      <c r="F358" s="6">
        <v>0.63373493975903605</v>
      </c>
    </row>
    <row r="359" spans="1:6" x14ac:dyDescent="0.25">
      <c r="A359" t="s">
        <v>110</v>
      </c>
      <c r="B359" t="s">
        <v>5</v>
      </c>
      <c r="C359" t="s">
        <v>5</v>
      </c>
      <c r="D359">
        <v>152</v>
      </c>
      <c r="E359">
        <v>0.366265060240964</v>
      </c>
      <c r="F359" s="6">
        <v>0.366265060240964</v>
      </c>
    </row>
    <row r="360" spans="1:6" x14ac:dyDescent="0.25">
      <c r="A360" t="s">
        <v>111</v>
      </c>
      <c r="B360" t="s">
        <v>56</v>
      </c>
      <c r="C360" t="s">
        <v>56</v>
      </c>
      <c r="D360">
        <v>339</v>
      </c>
      <c r="E360">
        <v>0.81686746987951797</v>
      </c>
      <c r="F360" s="6">
        <v>0.81686746987951797</v>
      </c>
    </row>
    <row r="361" spans="1:6" x14ac:dyDescent="0.25">
      <c r="A361" t="s">
        <v>111</v>
      </c>
      <c r="B361" t="s">
        <v>5</v>
      </c>
      <c r="C361" t="s">
        <v>5</v>
      </c>
      <c r="D361">
        <v>76</v>
      </c>
      <c r="E361">
        <v>0.183132530120482</v>
      </c>
      <c r="F361" s="6">
        <v>0.183132530120482</v>
      </c>
    </row>
    <row r="362" spans="1:6" x14ac:dyDescent="0.25">
      <c r="A362" t="s">
        <v>112</v>
      </c>
      <c r="B362" t="s">
        <v>56</v>
      </c>
      <c r="C362" t="s">
        <v>56</v>
      </c>
      <c r="D362">
        <v>382</v>
      </c>
      <c r="E362">
        <v>0.92048192771084303</v>
      </c>
      <c r="F362" s="6">
        <v>0.92048192771084303</v>
      </c>
    </row>
    <row r="363" spans="1:6" x14ac:dyDescent="0.25">
      <c r="A363" t="s">
        <v>112</v>
      </c>
      <c r="B363" t="s">
        <v>5</v>
      </c>
      <c r="C363" t="s">
        <v>5</v>
      </c>
      <c r="D363">
        <v>33</v>
      </c>
      <c r="E363">
        <v>7.9518072289156597E-2</v>
      </c>
      <c r="F363" s="6">
        <v>7.9518072289156597E-2</v>
      </c>
    </row>
    <row r="364" spans="1:6" x14ac:dyDescent="0.25">
      <c r="A364" t="s">
        <v>113</v>
      </c>
      <c r="B364" t="s">
        <v>56</v>
      </c>
      <c r="C364" t="s">
        <v>56</v>
      </c>
      <c r="D364">
        <v>370</v>
      </c>
      <c r="E364">
        <v>0.89156626506024095</v>
      </c>
      <c r="F364" s="6">
        <v>0.89156626506024095</v>
      </c>
    </row>
    <row r="365" spans="1:6" x14ac:dyDescent="0.25">
      <c r="A365" t="s">
        <v>113</v>
      </c>
      <c r="B365" t="s">
        <v>5</v>
      </c>
      <c r="C365" t="s">
        <v>5</v>
      </c>
      <c r="D365">
        <v>45</v>
      </c>
      <c r="E365">
        <v>0.108433734939759</v>
      </c>
      <c r="F365" s="6">
        <v>0.108433734939759</v>
      </c>
    </row>
    <row r="366" spans="1:6" x14ac:dyDescent="0.25">
      <c r="A366" t="s">
        <v>114</v>
      </c>
      <c r="B366" t="s">
        <v>56</v>
      </c>
      <c r="C366" t="s">
        <v>56</v>
      </c>
      <c r="D366">
        <v>359</v>
      </c>
      <c r="E366">
        <v>0.86506024096385503</v>
      </c>
      <c r="F366" s="6">
        <v>0.86506024096385503</v>
      </c>
    </row>
    <row r="367" spans="1:6" x14ac:dyDescent="0.25">
      <c r="A367" t="s">
        <v>114</v>
      </c>
      <c r="B367" t="s">
        <v>5</v>
      </c>
      <c r="C367" t="s">
        <v>5</v>
      </c>
      <c r="D367">
        <v>56</v>
      </c>
      <c r="E367">
        <v>0.134939759036145</v>
      </c>
      <c r="F367" s="6">
        <v>0.134939759036145</v>
      </c>
    </row>
    <row r="368" spans="1:6" x14ac:dyDescent="0.25">
      <c r="A368" t="s">
        <v>115</v>
      </c>
      <c r="B368" t="s">
        <v>56</v>
      </c>
      <c r="C368" t="s">
        <v>56</v>
      </c>
      <c r="D368">
        <v>392</v>
      </c>
      <c r="E368">
        <v>0.944578313253012</v>
      </c>
      <c r="F368" s="6">
        <v>0.944578313253012</v>
      </c>
    </row>
    <row r="369" spans="1:6" x14ac:dyDescent="0.25">
      <c r="A369" t="s">
        <v>115</v>
      </c>
      <c r="B369" t="s">
        <v>5</v>
      </c>
      <c r="C369" t="s">
        <v>5</v>
      </c>
      <c r="D369">
        <v>23</v>
      </c>
      <c r="E369">
        <v>5.54216867469879E-2</v>
      </c>
      <c r="F369" s="6">
        <v>5.54216867469879E-2</v>
      </c>
    </row>
    <row r="370" spans="1:6" x14ac:dyDescent="0.25">
      <c r="A370" t="s">
        <v>116</v>
      </c>
      <c r="B370" t="s">
        <v>56</v>
      </c>
      <c r="C370" t="s">
        <v>56</v>
      </c>
      <c r="D370">
        <v>384</v>
      </c>
      <c r="E370">
        <v>0.92530120481927702</v>
      </c>
      <c r="F370" s="6">
        <v>0.92530120481927702</v>
      </c>
    </row>
    <row r="371" spans="1:6" x14ac:dyDescent="0.25">
      <c r="A371" t="s">
        <v>116</v>
      </c>
      <c r="B371" t="s">
        <v>5</v>
      </c>
      <c r="C371" t="s">
        <v>5</v>
      </c>
      <c r="D371">
        <v>31</v>
      </c>
      <c r="E371">
        <v>7.4698795180722893E-2</v>
      </c>
      <c r="F371" s="6">
        <v>7.4698795180722893E-2</v>
      </c>
    </row>
    <row r="372" spans="1:6" x14ac:dyDescent="0.25">
      <c r="A372" t="s">
        <v>204</v>
      </c>
      <c r="B372" t="s">
        <v>5</v>
      </c>
      <c r="C372" t="s">
        <v>234</v>
      </c>
      <c r="D372">
        <v>210</v>
      </c>
      <c r="E372">
        <v>0.50602409638554202</v>
      </c>
      <c r="F372" s="6">
        <v>0.50602409638554202</v>
      </c>
    </row>
    <row r="373" spans="1:6" x14ac:dyDescent="0.25">
      <c r="A373" t="s">
        <v>204</v>
      </c>
      <c r="B373" t="s">
        <v>56</v>
      </c>
      <c r="C373" t="s">
        <v>235</v>
      </c>
      <c r="D373">
        <v>205</v>
      </c>
      <c r="E373">
        <v>0.49397590361445798</v>
      </c>
      <c r="F373" s="6">
        <v>0.49397590361445798</v>
      </c>
    </row>
    <row r="374" spans="1:6" x14ac:dyDescent="0.25">
      <c r="A374" t="s">
        <v>205</v>
      </c>
      <c r="B374" t="s">
        <v>5</v>
      </c>
      <c r="C374" t="s">
        <v>234</v>
      </c>
      <c r="D374">
        <v>268</v>
      </c>
      <c r="E374">
        <v>0.64578313253011999</v>
      </c>
      <c r="F374" s="6">
        <v>0.64578313253011999</v>
      </c>
    </row>
    <row r="375" spans="1:6" x14ac:dyDescent="0.25">
      <c r="A375" t="s">
        <v>205</v>
      </c>
      <c r="B375" t="s">
        <v>56</v>
      </c>
      <c r="C375" t="s">
        <v>235</v>
      </c>
      <c r="D375">
        <v>147</v>
      </c>
      <c r="E375">
        <v>0.35421686746988001</v>
      </c>
      <c r="F375" s="6">
        <v>0.35421686746988001</v>
      </c>
    </row>
    <row r="376" spans="1:6" x14ac:dyDescent="0.25">
      <c r="A376" t="s">
        <v>206</v>
      </c>
      <c r="B376" t="s">
        <v>5</v>
      </c>
      <c r="C376" t="s">
        <v>234</v>
      </c>
      <c r="D376">
        <v>189</v>
      </c>
      <c r="E376">
        <v>0.45542168674698802</v>
      </c>
      <c r="F376" s="6">
        <v>0.45542168674698802</v>
      </c>
    </row>
    <row r="377" spans="1:6" x14ac:dyDescent="0.25">
      <c r="A377" t="s">
        <v>206</v>
      </c>
      <c r="B377" t="s">
        <v>56</v>
      </c>
      <c r="C377" t="s">
        <v>235</v>
      </c>
      <c r="D377">
        <v>226</v>
      </c>
      <c r="E377">
        <v>0.54457831325301198</v>
      </c>
      <c r="F377" s="6">
        <v>0.54457831325301198</v>
      </c>
    </row>
    <row r="378" spans="1:6" x14ac:dyDescent="0.25">
      <c r="A378" t="s">
        <v>207</v>
      </c>
      <c r="B378" t="s">
        <v>5</v>
      </c>
      <c r="C378" t="s">
        <v>234</v>
      </c>
      <c r="D378">
        <v>116</v>
      </c>
      <c r="E378">
        <v>0.27951807228915698</v>
      </c>
      <c r="F378" s="6">
        <v>0.27951807228915698</v>
      </c>
    </row>
    <row r="379" spans="1:6" x14ac:dyDescent="0.25">
      <c r="A379" t="s">
        <v>207</v>
      </c>
      <c r="B379" t="s">
        <v>56</v>
      </c>
      <c r="C379" t="s">
        <v>235</v>
      </c>
      <c r="D379">
        <v>299</v>
      </c>
      <c r="E379">
        <v>0.72048192771084296</v>
      </c>
      <c r="F379" s="6">
        <v>0.72048192771084296</v>
      </c>
    </row>
    <row r="380" spans="1:6" x14ac:dyDescent="0.25">
      <c r="A380" t="s">
        <v>208</v>
      </c>
      <c r="B380" t="s">
        <v>5</v>
      </c>
      <c r="C380" t="s">
        <v>234</v>
      </c>
      <c r="D380">
        <v>212</v>
      </c>
      <c r="E380">
        <v>0.51084337349397602</v>
      </c>
      <c r="F380" s="6">
        <v>0.51084337349397602</v>
      </c>
    </row>
    <row r="381" spans="1:6" x14ac:dyDescent="0.25">
      <c r="A381" t="s">
        <v>208</v>
      </c>
      <c r="B381" t="s">
        <v>56</v>
      </c>
      <c r="C381" t="s">
        <v>235</v>
      </c>
      <c r="D381">
        <v>203</v>
      </c>
      <c r="E381">
        <v>0.48915662650602398</v>
      </c>
      <c r="F381" s="6">
        <v>0.48915662650602398</v>
      </c>
    </row>
    <row r="382" spans="1:6" x14ac:dyDescent="0.25">
      <c r="A382" t="s">
        <v>209</v>
      </c>
      <c r="B382" t="s">
        <v>5</v>
      </c>
      <c r="C382" t="s">
        <v>234</v>
      </c>
      <c r="D382">
        <v>189</v>
      </c>
      <c r="E382">
        <v>0.45542168674698802</v>
      </c>
      <c r="F382" s="6">
        <v>0.45542168674698802</v>
      </c>
    </row>
    <row r="383" spans="1:6" x14ac:dyDescent="0.25">
      <c r="A383" t="s">
        <v>209</v>
      </c>
      <c r="B383" t="s">
        <v>56</v>
      </c>
      <c r="C383" t="s">
        <v>235</v>
      </c>
      <c r="D383">
        <v>226</v>
      </c>
      <c r="E383">
        <v>0.54457831325301198</v>
      </c>
      <c r="F383" s="6">
        <v>0.54457831325301198</v>
      </c>
    </row>
    <row r="384" spans="1:6" x14ac:dyDescent="0.25">
      <c r="A384" t="s">
        <v>210</v>
      </c>
      <c r="B384" t="s">
        <v>5</v>
      </c>
      <c r="C384" t="s">
        <v>234</v>
      </c>
      <c r="D384">
        <v>230</v>
      </c>
      <c r="E384">
        <v>0.55421686746987997</v>
      </c>
      <c r="F384" s="6">
        <v>0.55421686746987997</v>
      </c>
    </row>
    <row r="385" spans="1:6" x14ac:dyDescent="0.25">
      <c r="A385" t="s">
        <v>210</v>
      </c>
      <c r="B385" t="s">
        <v>56</v>
      </c>
      <c r="C385" t="s">
        <v>235</v>
      </c>
      <c r="D385">
        <v>185</v>
      </c>
      <c r="E385">
        <v>0.44578313253011997</v>
      </c>
      <c r="F385" s="6">
        <v>0.44578313253011997</v>
      </c>
    </row>
    <row r="386" spans="1:6" x14ac:dyDescent="0.25">
      <c r="A386" t="s">
        <v>211</v>
      </c>
      <c r="B386" t="s">
        <v>5</v>
      </c>
      <c r="C386" t="s">
        <v>234</v>
      </c>
      <c r="D386">
        <v>123</v>
      </c>
      <c r="E386">
        <v>0.29638554216867502</v>
      </c>
      <c r="F386" s="6">
        <v>0.29638554216867502</v>
      </c>
    </row>
    <row r="387" spans="1:6" x14ac:dyDescent="0.25">
      <c r="A387" t="s">
        <v>211</v>
      </c>
      <c r="B387" t="s">
        <v>56</v>
      </c>
      <c r="C387" t="s">
        <v>235</v>
      </c>
      <c r="D387">
        <v>292</v>
      </c>
      <c r="E387">
        <v>0.70361445783132504</v>
      </c>
      <c r="F387" s="6">
        <v>0.70361445783132504</v>
      </c>
    </row>
    <row r="388" spans="1:6" x14ac:dyDescent="0.25">
      <c r="A388" t="s">
        <v>212</v>
      </c>
      <c r="B388" t="s">
        <v>5</v>
      </c>
      <c r="C388" t="s">
        <v>234</v>
      </c>
      <c r="D388">
        <v>214</v>
      </c>
      <c r="E388">
        <v>0.51566265060241001</v>
      </c>
      <c r="F388" s="6">
        <v>0.51566265060241001</v>
      </c>
    </row>
    <row r="389" spans="1:6" x14ac:dyDescent="0.25">
      <c r="A389" t="s">
        <v>212</v>
      </c>
      <c r="B389" t="s">
        <v>56</v>
      </c>
      <c r="C389" t="s">
        <v>235</v>
      </c>
      <c r="D389">
        <v>201</v>
      </c>
      <c r="E389">
        <v>0.48433734939758999</v>
      </c>
      <c r="F389" s="6">
        <v>0.48433734939758999</v>
      </c>
    </row>
    <row r="390" spans="1:6" x14ac:dyDescent="0.25">
      <c r="A390" t="s">
        <v>213</v>
      </c>
      <c r="B390" t="s">
        <v>5</v>
      </c>
      <c r="C390" t="s">
        <v>234</v>
      </c>
      <c r="D390">
        <v>235</v>
      </c>
      <c r="E390">
        <v>0.56626506024096401</v>
      </c>
      <c r="F390" s="6">
        <v>0.56626506024096401</v>
      </c>
    </row>
    <row r="391" spans="1:6" x14ac:dyDescent="0.25">
      <c r="A391" t="s">
        <v>213</v>
      </c>
      <c r="B391" t="s">
        <v>56</v>
      </c>
      <c r="C391" t="s">
        <v>235</v>
      </c>
      <c r="D391">
        <v>180</v>
      </c>
      <c r="E391">
        <v>0.43373493975903599</v>
      </c>
      <c r="F391" s="6">
        <v>0.43373493975903599</v>
      </c>
    </row>
    <row r="392" spans="1:6" x14ac:dyDescent="0.25">
      <c r="A392" t="s">
        <v>214</v>
      </c>
      <c r="B392" t="s">
        <v>5</v>
      </c>
      <c r="C392" t="s">
        <v>234</v>
      </c>
      <c r="D392">
        <v>254</v>
      </c>
      <c r="E392">
        <v>0.61204819277108402</v>
      </c>
      <c r="F392" s="6">
        <v>0.61204819277108402</v>
      </c>
    </row>
    <row r="393" spans="1:6" x14ac:dyDescent="0.25">
      <c r="A393" t="s">
        <v>214</v>
      </c>
      <c r="B393" t="s">
        <v>56</v>
      </c>
      <c r="C393" t="s">
        <v>235</v>
      </c>
      <c r="D393">
        <v>161</v>
      </c>
      <c r="E393">
        <v>0.38795180722891598</v>
      </c>
      <c r="F393" s="6">
        <v>0.38795180722891598</v>
      </c>
    </row>
    <row r="394" spans="1:6" x14ac:dyDescent="0.25">
      <c r="A394" t="s">
        <v>215</v>
      </c>
      <c r="B394" t="s">
        <v>5</v>
      </c>
      <c r="C394" t="s">
        <v>234</v>
      </c>
      <c r="D394">
        <v>234</v>
      </c>
      <c r="E394">
        <v>0.56385542168674696</v>
      </c>
      <c r="F394" s="6">
        <v>0.56385542168674696</v>
      </c>
    </row>
    <row r="395" spans="1:6" x14ac:dyDescent="0.25">
      <c r="A395" t="s">
        <v>215</v>
      </c>
      <c r="B395" t="s">
        <v>56</v>
      </c>
      <c r="C395" t="s">
        <v>235</v>
      </c>
      <c r="D395">
        <v>181</v>
      </c>
      <c r="E395">
        <v>0.43614457831325298</v>
      </c>
      <c r="F395" s="6">
        <v>0.43614457831325298</v>
      </c>
    </row>
    <row r="396" spans="1:6" x14ac:dyDescent="0.25">
      <c r="A396" t="s">
        <v>216</v>
      </c>
      <c r="B396" t="s">
        <v>5</v>
      </c>
      <c r="C396" t="s">
        <v>234</v>
      </c>
      <c r="D396">
        <v>265</v>
      </c>
      <c r="E396">
        <v>0.63855421686747005</v>
      </c>
      <c r="F396" s="6">
        <v>0.63855421686747005</v>
      </c>
    </row>
    <row r="397" spans="1:6" x14ac:dyDescent="0.25">
      <c r="A397" t="s">
        <v>216</v>
      </c>
      <c r="B397" t="s">
        <v>56</v>
      </c>
      <c r="C397" t="s">
        <v>235</v>
      </c>
      <c r="D397">
        <v>150</v>
      </c>
      <c r="E397">
        <v>0.36144578313253001</v>
      </c>
      <c r="F397" s="6">
        <v>0.36144578313253001</v>
      </c>
    </row>
    <row r="398" spans="1:6" x14ac:dyDescent="0.25">
      <c r="A398" t="s">
        <v>217</v>
      </c>
      <c r="B398" t="s">
        <v>5</v>
      </c>
      <c r="C398" t="s">
        <v>234</v>
      </c>
      <c r="D398">
        <v>237</v>
      </c>
      <c r="E398">
        <v>0.57108433734939801</v>
      </c>
      <c r="F398" s="6">
        <v>0.57108433734939801</v>
      </c>
    </row>
    <row r="399" spans="1:6" x14ac:dyDescent="0.25">
      <c r="A399" t="s">
        <v>217</v>
      </c>
      <c r="B399" t="s">
        <v>56</v>
      </c>
      <c r="C399" t="s">
        <v>235</v>
      </c>
      <c r="D399">
        <v>178</v>
      </c>
      <c r="E399">
        <v>0.42891566265060199</v>
      </c>
      <c r="F399" s="6">
        <v>0.42891566265060199</v>
      </c>
    </row>
    <row r="400" spans="1:6" x14ac:dyDescent="0.25">
      <c r="A400" t="s">
        <v>218</v>
      </c>
      <c r="B400" t="s">
        <v>5</v>
      </c>
      <c r="C400" t="s">
        <v>234</v>
      </c>
      <c r="D400">
        <v>131</v>
      </c>
      <c r="E400">
        <v>0.31566265060241</v>
      </c>
      <c r="F400" s="6">
        <v>0.31566265060241</v>
      </c>
    </row>
    <row r="401" spans="1:6" x14ac:dyDescent="0.25">
      <c r="A401" t="s">
        <v>218</v>
      </c>
      <c r="B401" t="s">
        <v>56</v>
      </c>
      <c r="C401" t="s">
        <v>235</v>
      </c>
      <c r="D401">
        <v>284</v>
      </c>
      <c r="E401">
        <v>0.68433734939758994</v>
      </c>
      <c r="F401" s="6">
        <v>0.68433734939758994</v>
      </c>
    </row>
    <row r="402" spans="1:6" x14ac:dyDescent="0.25">
      <c r="A402" t="s">
        <v>219</v>
      </c>
      <c r="B402" t="s">
        <v>5</v>
      </c>
      <c r="C402" t="s">
        <v>234</v>
      </c>
      <c r="D402">
        <v>40</v>
      </c>
      <c r="E402">
        <v>9.6385542168674704E-2</v>
      </c>
      <c r="F402" s="6">
        <v>9.6385542168674704E-2</v>
      </c>
    </row>
    <row r="403" spans="1:6" x14ac:dyDescent="0.25">
      <c r="A403" t="s">
        <v>219</v>
      </c>
      <c r="B403" t="s">
        <v>56</v>
      </c>
      <c r="C403" t="s">
        <v>235</v>
      </c>
      <c r="D403">
        <v>375</v>
      </c>
      <c r="E403">
        <v>0.90361445783132499</v>
      </c>
      <c r="F403" s="6">
        <v>0.90361445783132499</v>
      </c>
    </row>
    <row r="404" spans="1:6" x14ac:dyDescent="0.25">
      <c r="A404" t="s">
        <v>220</v>
      </c>
      <c r="B404" t="s">
        <v>5</v>
      </c>
      <c r="C404" t="s">
        <v>234</v>
      </c>
      <c r="D404">
        <v>240</v>
      </c>
      <c r="E404">
        <v>0.57831325301204795</v>
      </c>
      <c r="F404" s="6">
        <v>0.57831325301204795</v>
      </c>
    </row>
    <row r="405" spans="1:6" x14ac:dyDescent="0.25">
      <c r="A405" t="s">
        <v>220</v>
      </c>
      <c r="B405" t="s">
        <v>56</v>
      </c>
      <c r="C405" t="s">
        <v>235</v>
      </c>
      <c r="D405">
        <v>175</v>
      </c>
      <c r="E405">
        <v>0.421686746987952</v>
      </c>
      <c r="F405" s="6">
        <v>0.421686746987952</v>
      </c>
    </row>
    <row r="406" spans="1:6" x14ac:dyDescent="0.25">
      <c r="A406" t="s">
        <v>221</v>
      </c>
      <c r="B406" t="s">
        <v>5</v>
      </c>
      <c r="C406" t="s">
        <v>234</v>
      </c>
      <c r="D406">
        <v>194</v>
      </c>
      <c r="E406">
        <v>0.46746987951807201</v>
      </c>
      <c r="F406" s="6">
        <v>0.46746987951807201</v>
      </c>
    </row>
    <row r="407" spans="1:6" x14ac:dyDescent="0.25">
      <c r="A407" t="s">
        <v>221</v>
      </c>
      <c r="B407" t="s">
        <v>56</v>
      </c>
      <c r="C407" t="s">
        <v>235</v>
      </c>
      <c r="D407">
        <v>221</v>
      </c>
      <c r="E407">
        <v>0.53253012048192805</v>
      </c>
      <c r="F407" s="6">
        <v>0.53253012048192805</v>
      </c>
    </row>
    <row r="408" spans="1:6" x14ac:dyDescent="0.25">
      <c r="A408" t="s">
        <v>222</v>
      </c>
      <c r="B408" t="s">
        <v>5</v>
      </c>
      <c r="C408" t="s">
        <v>234</v>
      </c>
      <c r="D408">
        <v>92</v>
      </c>
      <c r="E408">
        <v>0.22168674698795199</v>
      </c>
      <c r="F408" s="6">
        <v>0.22168674698795199</v>
      </c>
    </row>
    <row r="409" spans="1:6" x14ac:dyDescent="0.25">
      <c r="A409" t="s">
        <v>222</v>
      </c>
      <c r="B409" t="s">
        <v>56</v>
      </c>
      <c r="C409" t="s">
        <v>235</v>
      </c>
      <c r="D409">
        <v>323</v>
      </c>
      <c r="E409">
        <v>0.77831325301204801</v>
      </c>
      <c r="F409" s="6">
        <v>0.77831325301204801</v>
      </c>
    </row>
    <row r="410" spans="1:6" x14ac:dyDescent="0.25">
      <c r="A410" t="s">
        <v>223</v>
      </c>
      <c r="B410" t="s">
        <v>5</v>
      </c>
      <c r="C410" t="s">
        <v>234</v>
      </c>
      <c r="D410">
        <v>126</v>
      </c>
      <c r="E410">
        <v>0.30361445783132501</v>
      </c>
      <c r="F410" s="6">
        <v>0.30361445783132501</v>
      </c>
    </row>
    <row r="411" spans="1:6" x14ac:dyDescent="0.25">
      <c r="A411" t="s">
        <v>223</v>
      </c>
      <c r="B411" t="s">
        <v>56</v>
      </c>
      <c r="C411" t="s">
        <v>235</v>
      </c>
      <c r="D411">
        <v>289</v>
      </c>
      <c r="E411">
        <v>0.69638554216867499</v>
      </c>
      <c r="F411" s="6">
        <v>0.69638554216867499</v>
      </c>
    </row>
    <row r="412" spans="1:6" x14ac:dyDescent="0.25">
      <c r="A412" t="s">
        <v>224</v>
      </c>
      <c r="B412" t="s">
        <v>5</v>
      </c>
      <c r="C412" t="s">
        <v>234</v>
      </c>
      <c r="D412">
        <v>115</v>
      </c>
      <c r="E412">
        <v>0.27710843373493999</v>
      </c>
      <c r="F412" s="6">
        <v>0.27710843373493999</v>
      </c>
    </row>
    <row r="413" spans="1:6" x14ac:dyDescent="0.25">
      <c r="A413" t="s">
        <v>224</v>
      </c>
      <c r="B413" t="s">
        <v>56</v>
      </c>
      <c r="C413" t="s">
        <v>235</v>
      </c>
      <c r="D413">
        <v>300</v>
      </c>
      <c r="E413">
        <v>0.72289156626506001</v>
      </c>
      <c r="F413" s="6">
        <v>0.72289156626506001</v>
      </c>
    </row>
  </sheetData>
  <pageMargins left="0.7" right="0.7" top="0.75" bottom="0.75" header="0.3" footer="0.3"/>
  <pageSetup paperSize="9" orientation="portrait" horizontalDpi="300" verticalDpi="30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F0CD9-3981-44E5-8B86-D0E22717CA9F}">
  <sheetPr>
    <tabColor theme="4"/>
  </sheetPr>
  <dimension ref="F3:K26"/>
  <sheetViews>
    <sheetView showGridLines="0" topLeftCell="B1" zoomScale="60" zoomScaleNormal="60" workbookViewId="0">
      <pane ySplit="5" topLeftCell="A17" activePane="bottomLeft" state="frozen"/>
      <selection activeCell="B1" sqref="B1"/>
      <selection pane="bottomLeft" activeCell="L20" sqref="L20"/>
    </sheetView>
  </sheetViews>
  <sheetFormatPr defaultRowHeight="15" x14ac:dyDescent="0.25"/>
  <cols>
    <col min="6" max="6" width="34.7109375" customWidth="1"/>
    <col min="7" max="7" width="3.42578125" hidden="1" customWidth="1"/>
    <col min="8" max="8" width="58.42578125" customWidth="1"/>
    <col min="9" max="9" width="54.7109375" customWidth="1"/>
    <col min="10" max="10" width="57.42578125" customWidth="1"/>
    <col min="11" max="11" width="57" customWidth="1"/>
  </cols>
  <sheetData>
    <row r="3" spans="6:11" ht="15.75" thickBot="1" x14ac:dyDescent="0.3">
      <c r="F3" s="7" t="s">
        <v>134</v>
      </c>
      <c r="I3" s="6"/>
      <c r="J3" s="6"/>
      <c r="K3" s="6"/>
    </row>
    <row r="4" spans="6:11" ht="20.25" customHeight="1" x14ac:dyDescent="0.25">
      <c r="H4" s="82" t="s">
        <v>453</v>
      </c>
      <c r="I4" s="95" t="s">
        <v>454</v>
      </c>
      <c r="J4" s="97" t="s">
        <v>455</v>
      </c>
      <c r="K4" s="78" t="s">
        <v>456</v>
      </c>
    </row>
    <row r="5" spans="6:11" ht="21" customHeight="1" thickBot="1" x14ac:dyDescent="0.3">
      <c r="H5" s="83" t="s">
        <v>457</v>
      </c>
      <c r="I5" s="96" t="s">
        <v>458</v>
      </c>
      <c r="J5" s="98" t="s">
        <v>459</v>
      </c>
      <c r="K5" s="61" t="s">
        <v>460</v>
      </c>
    </row>
    <row r="6" spans="6:11" x14ac:dyDescent="0.25">
      <c r="F6" s="102" t="s">
        <v>395</v>
      </c>
      <c r="G6" s="81"/>
      <c r="H6" s="84" t="s">
        <v>410</v>
      </c>
      <c r="I6" s="84" t="s">
        <v>412</v>
      </c>
      <c r="J6" s="84" t="s">
        <v>411</v>
      </c>
      <c r="K6" s="91" t="s">
        <v>412</v>
      </c>
    </row>
    <row r="7" spans="6:11" x14ac:dyDescent="0.25">
      <c r="F7" s="103" t="s">
        <v>396</v>
      </c>
      <c r="G7" s="77"/>
      <c r="H7" s="85" t="s">
        <v>413</v>
      </c>
      <c r="I7" s="85" t="s">
        <v>414</v>
      </c>
      <c r="J7" s="85" t="s">
        <v>426</v>
      </c>
      <c r="K7" s="92" t="s">
        <v>415</v>
      </c>
    </row>
    <row r="8" spans="6:11" x14ac:dyDescent="0.25">
      <c r="F8" s="104" t="s">
        <v>462</v>
      </c>
      <c r="G8" s="81"/>
      <c r="H8" s="84" t="s">
        <v>417</v>
      </c>
      <c r="I8" s="84" t="s">
        <v>416</v>
      </c>
      <c r="J8" s="84" t="s">
        <v>418</v>
      </c>
      <c r="K8" s="91" t="s">
        <v>419</v>
      </c>
    </row>
    <row r="9" spans="6:11" x14ac:dyDescent="0.25">
      <c r="F9" s="103" t="s">
        <v>409</v>
      </c>
      <c r="G9" s="77"/>
      <c r="H9" s="86" t="s">
        <v>421</v>
      </c>
      <c r="I9" s="86" t="s">
        <v>422</v>
      </c>
      <c r="J9" s="86" t="s">
        <v>423</v>
      </c>
      <c r="K9" s="93" t="s">
        <v>424</v>
      </c>
    </row>
    <row r="10" spans="6:11" ht="49.5" customHeight="1" x14ac:dyDescent="0.25">
      <c r="F10" s="104" t="s">
        <v>451</v>
      </c>
      <c r="G10" s="81"/>
      <c r="H10" s="121" t="s">
        <v>420</v>
      </c>
      <c r="I10" s="87" t="s">
        <v>425</v>
      </c>
      <c r="J10" s="112" t="s">
        <v>452</v>
      </c>
      <c r="K10" s="120" t="s">
        <v>461</v>
      </c>
    </row>
    <row r="11" spans="6:11" ht="45" x14ac:dyDescent="0.25">
      <c r="F11" s="103" t="s">
        <v>444</v>
      </c>
      <c r="G11" s="77"/>
      <c r="H11" s="88" t="s">
        <v>463</v>
      </c>
      <c r="I11" s="88" t="s">
        <v>427</v>
      </c>
      <c r="J11" s="89" t="s">
        <v>428</v>
      </c>
      <c r="K11" s="94" t="s">
        <v>429</v>
      </c>
    </row>
    <row r="12" spans="6:11" ht="30" x14ac:dyDescent="0.25">
      <c r="F12" s="104" t="s">
        <v>446</v>
      </c>
      <c r="G12" s="81"/>
      <c r="H12" s="112" t="s">
        <v>464</v>
      </c>
      <c r="I12" s="107" t="s">
        <v>464</v>
      </c>
      <c r="J12" s="122" t="s">
        <v>430</v>
      </c>
      <c r="K12" s="106" t="s">
        <v>465</v>
      </c>
    </row>
    <row r="13" spans="6:11" ht="60" x14ac:dyDescent="0.25">
      <c r="F13" s="103" t="s">
        <v>445</v>
      </c>
      <c r="G13" s="77"/>
      <c r="H13" s="88" t="s">
        <v>471</v>
      </c>
      <c r="I13" s="88" t="s">
        <v>472</v>
      </c>
      <c r="J13" s="88" t="s">
        <v>431</v>
      </c>
      <c r="K13" s="93" t="s">
        <v>432</v>
      </c>
    </row>
    <row r="14" spans="6:11" ht="45" x14ac:dyDescent="0.25">
      <c r="F14" s="104" t="s">
        <v>449</v>
      </c>
      <c r="G14" s="81"/>
      <c r="H14" s="123" t="s">
        <v>473</v>
      </c>
      <c r="I14" s="101" t="s">
        <v>434</v>
      </c>
      <c r="J14" s="101" t="s">
        <v>435</v>
      </c>
      <c r="K14" s="106" t="s">
        <v>433</v>
      </c>
    </row>
    <row r="15" spans="6:11" ht="49.5" customHeight="1" x14ac:dyDescent="0.25">
      <c r="F15" s="103" t="s">
        <v>447</v>
      </c>
      <c r="G15" s="77"/>
      <c r="H15" s="88" t="s">
        <v>466</v>
      </c>
      <c r="I15" s="88" t="s">
        <v>436</v>
      </c>
      <c r="J15" s="88" t="s">
        <v>437</v>
      </c>
      <c r="K15" s="94" t="s">
        <v>438</v>
      </c>
    </row>
    <row r="16" spans="6:11" ht="30" x14ac:dyDescent="0.25">
      <c r="F16" s="104" t="s">
        <v>450</v>
      </c>
      <c r="G16" s="81"/>
      <c r="H16" s="107" t="s">
        <v>439</v>
      </c>
      <c r="I16" s="100" t="s">
        <v>440</v>
      </c>
      <c r="J16" s="124" t="s">
        <v>441</v>
      </c>
      <c r="K16" s="125" t="s">
        <v>443</v>
      </c>
    </row>
    <row r="17" spans="6:11" ht="40.5" customHeight="1" thickBot="1" x14ac:dyDescent="0.3">
      <c r="F17" s="105" t="s">
        <v>448</v>
      </c>
      <c r="G17" s="77"/>
      <c r="H17" s="90" t="s">
        <v>442</v>
      </c>
      <c r="I17" s="90" t="s">
        <v>469</v>
      </c>
      <c r="J17" s="99" t="s">
        <v>468</v>
      </c>
      <c r="K17" s="108" t="s">
        <v>467</v>
      </c>
    </row>
    <row r="18" spans="6:11" x14ac:dyDescent="0.25">
      <c r="H18" s="5"/>
      <c r="I18" s="5"/>
      <c r="K18" s="5"/>
    </row>
    <row r="19" spans="6:11" x14ac:dyDescent="0.25">
      <c r="F19" s="80"/>
      <c r="H19" s="79"/>
      <c r="I19" s="80"/>
      <c r="J19" s="80"/>
      <c r="K19" s="79"/>
    </row>
    <row r="20" spans="6:11" x14ac:dyDescent="0.25">
      <c r="H20" s="5"/>
    </row>
    <row r="21" spans="6:11" x14ac:dyDescent="0.25">
      <c r="H21" s="5"/>
    </row>
    <row r="26" spans="6:11" ht="27.75" customHeight="1" x14ac:dyDescent="0.5">
      <c r="F26" s="109"/>
      <c r="G26" s="109"/>
      <c r="H26" s="109"/>
      <c r="I26" s="109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EB2D-F6FA-4706-A506-872A43DCE1C7}">
  <sheetPr>
    <tabColor theme="4"/>
  </sheetPr>
  <dimension ref="C1:V394"/>
  <sheetViews>
    <sheetView showGridLines="0" zoomScale="66" zoomScaleNormal="66" workbookViewId="0">
      <pane xSplit="5" ySplit="5" topLeftCell="F135" activePane="bottomRight" state="frozen"/>
      <selection pane="topRight" activeCell="D1" sqref="D1"/>
      <selection pane="bottomLeft" activeCell="A5" sqref="A5"/>
      <selection pane="bottomRight" activeCell="O148" sqref="O148"/>
    </sheetView>
  </sheetViews>
  <sheetFormatPr defaultRowHeight="15" x14ac:dyDescent="0.25"/>
  <cols>
    <col min="1" max="2" width="9.140625" style="5"/>
    <col min="3" max="3" width="29.85546875" style="27" customWidth="1"/>
    <col min="4" max="4" width="5.85546875" style="27" customWidth="1"/>
    <col min="5" max="5" width="76.140625" style="5" bestFit="1" customWidth="1"/>
    <col min="6" max="6" width="10.140625" style="27" customWidth="1"/>
    <col min="7" max="8" width="9.140625" style="27"/>
    <col min="9" max="9" width="9.42578125" style="27" bestFit="1" customWidth="1"/>
    <col min="10" max="10" width="9.140625" style="27"/>
    <col min="11" max="11" width="11.5703125" style="5" customWidth="1"/>
    <col min="12" max="12" width="12.85546875" style="5" bestFit="1" customWidth="1"/>
    <col min="13" max="15" width="9.140625" style="5"/>
    <col min="16" max="16" width="9.140625" style="5" customWidth="1"/>
    <col min="17" max="16384" width="9.140625" style="5"/>
  </cols>
  <sheetData>
    <row r="1" spans="3:20" ht="15" customHeight="1" thickBot="1" x14ac:dyDescent="0.3">
      <c r="C1" s="37"/>
      <c r="D1" s="37"/>
      <c r="E1" s="8"/>
      <c r="F1" s="133" t="s">
        <v>134</v>
      </c>
      <c r="G1" s="133"/>
      <c r="H1" s="133"/>
      <c r="I1" s="133"/>
      <c r="J1" s="133"/>
    </row>
    <row r="2" spans="3:20" ht="15" customHeight="1" x14ac:dyDescent="0.25">
      <c r="C2" s="37"/>
      <c r="D2" s="37"/>
      <c r="E2" s="8"/>
      <c r="F2" s="55">
        <v>1</v>
      </c>
      <c r="G2" s="56">
        <v>2</v>
      </c>
      <c r="H2" s="57">
        <v>3</v>
      </c>
      <c r="I2" s="58">
        <v>4</v>
      </c>
      <c r="J2" s="53" t="s">
        <v>136</v>
      </c>
    </row>
    <row r="3" spans="3:20" ht="15.75" customHeight="1" thickBot="1" x14ac:dyDescent="0.3">
      <c r="C3" s="37"/>
      <c r="D3" s="37"/>
      <c r="E3" s="8"/>
      <c r="F3" s="59">
        <v>95</v>
      </c>
      <c r="G3" s="60">
        <v>117</v>
      </c>
      <c r="H3" s="62">
        <v>111</v>
      </c>
      <c r="I3" s="61">
        <v>92</v>
      </c>
      <c r="J3" s="54">
        <f>SUM(F3:I3)</f>
        <v>415</v>
      </c>
      <c r="K3" s="11"/>
      <c r="N3" s="12"/>
      <c r="O3" s="12"/>
    </row>
    <row r="4" spans="3:20" ht="15.75" customHeight="1" x14ac:dyDescent="0.25">
      <c r="C4" s="37"/>
      <c r="D4" s="37"/>
      <c r="E4" s="8"/>
      <c r="F4" s="9"/>
      <c r="G4" s="9"/>
      <c r="H4" s="9"/>
      <c r="I4" s="9"/>
      <c r="J4" s="10"/>
      <c r="K4" s="11"/>
      <c r="L4" s="12"/>
      <c r="M4" s="12"/>
      <c r="N4" s="12"/>
      <c r="O4" s="12"/>
    </row>
    <row r="5" spans="3:20" ht="15" customHeight="1" x14ac:dyDescent="0.25">
      <c r="C5" s="37"/>
      <c r="D5" s="37"/>
      <c r="E5" s="8"/>
      <c r="F5" s="22">
        <v>1</v>
      </c>
      <c r="G5" s="22">
        <v>2</v>
      </c>
      <c r="H5" s="22">
        <v>3</v>
      </c>
      <c r="I5" s="22">
        <v>4</v>
      </c>
      <c r="J5" s="26" t="s">
        <v>136</v>
      </c>
      <c r="L5" s="22">
        <v>1</v>
      </c>
      <c r="M5" s="22">
        <v>2</v>
      </c>
      <c r="N5" s="22">
        <v>3</v>
      </c>
      <c r="O5" s="22">
        <v>4</v>
      </c>
    </row>
    <row r="6" spans="3:20" ht="15" customHeight="1" x14ac:dyDescent="0.25">
      <c r="C6" s="37"/>
      <c r="D6" s="37"/>
      <c r="E6" s="8"/>
      <c r="F6" s="23"/>
      <c r="G6" s="23"/>
      <c r="H6" s="23"/>
      <c r="I6" s="23"/>
      <c r="L6" s="23"/>
      <c r="M6" s="23"/>
      <c r="N6" s="23"/>
      <c r="O6" s="23"/>
    </row>
    <row r="7" spans="3:20" x14ac:dyDescent="0.25">
      <c r="C7" s="25"/>
      <c r="D7" s="25"/>
      <c r="E7" s="13"/>
      <c r="F7" s="28">
        <v>1</v>
      </c>
      <c r="G7" s="28">
        <v>2</v>
      </c>
      <c r="H7" s="28">
        <v>3</v>
      </c>
      <c r="I7" s="28">
        <v>4</v>
      </c>
      <c r="J7" s="29" t="s">
        <v>136</v>
      </c>
    </row>
    <row r="8" spans="3:20" x14ac:dyDescent="0.25">
      <c r="C8" s="137" t="s">
        <v>246</v>
      </c>
      <c r="D8" s="42">
        <v>1</v>
      </c>
      <c r="E8" s="14" t="s">
        <v>10</v>
      </c>
      <c r="F8" s="30">
        <v>0.36842105263157893</v>
      </c>
      <c r="G8" s="30">
        <v>0.54700854700854706</v>
      </c>
      <c r="H8" s="30">
        <v>0.66666666666666663</v>
      </c>
      <c r="I8" s="30">
        <v>0.56521739130434778</v>
      </c>
      <c r="J8" s="45">
        <v>0.54216867469879515</v>
      </c>
      <c r="K8" s="6"/>
      <c r="L8" s="15">
        <f>F8/$J8</f>
        <v>0.6795321637426901</v>
      </c>
      <c r="M8" s="15">
        <f>G8/$J8</f>
        <v>1.0089268755935423</v>
      </c>
      <c r="N8" s="15">
        <f t="shared" ref="N8:O10" si="0">H8/$J8</f>
        <v>1.2296296296296296</v>
      </c>
      <c r="O8" s="15">
        <f t="shared" si="0"/>
        <v>1.0425120772946859</v>
      </c>
    </row>
    <row r="9" spans="3:20" x14ac:dyDescent="0.25">
      <c r="C9" s="138"/>
      <c r="D9" s="42">
        <v>2</v>
      </c>
      <c r="E9" s="14" t="s">
        <v>9</v>
      </c>
      <c r="F9" s="32">
        <v>0.63157894736842102</v>
      </c>
      <c r="G9" s="32">
        <v>0.45299145299145299</v>
      </c>
      <c r="H9" s="32">
        <v>0.33333333333333331</v>
      </c>
      <c r="I9" s="30">
        <v>0.43478260869565216</v>
      </c>
      <c r="J9" s="45">
        <v>0.45783132530120479</v>
      </c>
      <c r="K9" s="6"/>
      <c r="L9" s="15">
        <f t="shared" ref="L9:M10" si="1">F9/$J9</f>
        <v>1.3795013850415512</v>
      </c>
      <c r="M9" s="15">
        <f t="shared" si="1"/>
        <v>0.98942869995501581</v>
      </c>
      <c r="N9" s="15">
        <f t="shared" si="0"/>
        <v>0.72807017543859653</v>
      </c>
      <c r="O9" s="15">
        <f t="shared" si="0"/>
        <v>0.94965675057208243</v>
      </c>
      <c r="Q9" s="16"/>
      <c r="R9" s="16"/>
      <c r="S9" s="16"/>
      <c r="T9" s="16"/>
    </row>
    <row r="10" spans="3:20" x14ac:dyDescent="0.25">
      <c r="C10" s="139"/>
      <c r="D10" s="42"/>
      <c r="E10" s="43" t="s">
        <v>137</v>
      </c>
      <c r="F10" s="44">
        <f>SUM(F8:F9)</f>
        <v>1</v>
      </c>
      <c r="G10" s="44">
        <f t="shared" ref="G10:I10" si="2">SUM(G8:G9)</f>
        <v>1</v>
      </c>
      <c r="H10" s="44">
        <f t="shared" si="2"/>
        <v>1</v>
      </c>
      <c r="I10" s="44">
        <f t="shared" si="2"/>
        <v>1</v>
      </c>
      <c r="J10" s="44">
        <f>SUM(J8:J9)</f>
        <v>1</v>
      </c>
      <c r="K10" s="6"/>
      <c r="L10" s="15">
        <f t="shared" si="1"/>
        <v>1</v>
      </c>
      <c r="M10" s="15">
        <f t="shared" si="1"/>
        <v>1</v>
      </c>
      <c r="N10" s="15">
        <f t="shared" si="0"/>
        <v>1</v>
      </c>
      <c r="O10" s="15">
        <f t="shared" si="0"/>
        <v>1</v>
      </c>
    </row>
    <row r="11" spans="3:20" x14ac:dyDescent="0.25">
      <c r="C11" s="25"/>
      <c r="D11" s="25"/>
      <c r="E11" s="18"/>
      <c r="F11" s="33"/>
      <c r="G11" s="33"/>
      <c r="H11" s="33"/>
      <c r="I11" s="33"/>
      <c r="J11" s="33"/>
      <c r="K11" s="6"/>
      <c r="L11" s="16"/>
      <c r="M11" s="16"/>
      <c r="N11" s="16"/>
      <c r="O11" s="16"/>
    </row>
    <row r="12" spans="3:20" x14ac:dyDescent="0.25">
      <c r="C12" s="25"/>
      <c r="D12" s="25"/>
      <c r="E12" s="13"/>
      <c r="F12" s="28">
        <v>1</v>
      </c>
      <c r="G12" s="28">
        <v>2</v>
      </c>
      <c r="H12" s="28">
        <v>3</v>
      </c>
      <c r="I12" s="28">
        <v>4</v>
      </c>
      <c r="J12" s="29" t="s">
        <v>136</v>
      </c>
      <c r="K12" s="6"/>
      <c r="L12" s="16"/>
      <c r="M12" s="16"/>
      <c r="N12" s="16"/>
      <c r="O12" s="16"/>
    </row>
    <row r="13" spans="3:20" x14ac:dyDescent="0.25">
      <c r="C13" s="134" t="s">
        <v>247</v>
      </c>
      <c r="D13" s="42">
        <v>1</v>
      </c>
      <c r="E13" s="17" t="s">
        <v>126</v>
      </c>
      <c r="F13" s="34">
        <v>0.35789473684210527</v>
      </c>
      <c r="G13" s="32">
        <v>0.22222222222222221</v>
      </c>
      <c r="H13" s="32">
        <v>0.15315315315315314</v>
      </c>
      <c r="I13" s="32">
        <v>0.27173913043478259</v>
      </c>
      <c r="J13" s="31">
        <v>0.24578313253012049</v>
      </c>
      <c r="K13" s="6"/>
      <c r="L13" s="15">
        <f>F13/$J13</f>
        <v>1.4561403508771928</v>
      </c>
      <c r="M13" s="15">
        <f>G13/$J13</f>
        <v>0.90413943355119819</v>
      </c>
      <c r="N13" s="15">
        <f>H13/$J13</f>
        <v>0.62312312312312301</v>
      </c>
      <c r="O13" s="15">
        <f t="shared" ref="M13:O17" si="3">I13/$J13</f>
        <v>1.1056052855924978</v>
      </c>
    </row>
    <row r="14" spans="3:20" x14ac:dyDescent="0.25">
      <c r="C14" s="135"/>
      <c r="D14" s="42">
        <v>2</v>
      </c>
      <c r="E14" s="17" t="s">
        <v>127</v>
      </c>
      <c r="F14" s="32">
        <v>0.3473684210526316</v>
      </c>
      <c r="G14" s="32">
        <v>0.35897435897435898</v>
      </c>
      <c r="H14" s="32">
        <v>0.25225225225225223</v>
      </c>
      <c r="I14" s="32">
        <v>0.30434782608695654</v>
      </c>
      <c r="J14" s="31">
        <v>0.31566265060240961</v>
      </c>
      <c r="K14" s="6"/>
      <c r="L14" s="15">
        <f>F14/$J14</f>
        <v>1.1004419445560467</v>
      </c>
      <c r="M14" s="15">
        <f t="shared" si="3"/>
        <v>1.1372088471325112</v>
      </c>
      <c r="N14" s="15">
        <f t="shared" si="3"/>
        <v>0.79911973041744033</v>
      </c>
      <c r="O14" s="15">
        <f t="shared" si="3"/>
        <v>0.96415532691669448</v>
      </c>
    </row>
    <row r="15" spans="3:20" x14ac:dyDescent="0.25">
      <c r="C15" s="135"/>
      <c r="D15" s="42">
        <v>3</v>
      </c>
      <c r="E15" s="17" t="s">
        <v>128</v>
      </c>
      <c r="F15" s="32">
        <v>0.2</v>
      </c>
      <c r="G15" s="32">
        <v>0.25641025641025639</v>
      </c>
      <c r="H15" s="32">
        <v>0.24324324324324326</v>
      </c>
      <c r="I15" s="32">
        <v>0.17391304347826086</v>
      </c>
      <c r="J15" s="31">
        <v>0.22168674698795179</v>
      </c>
      <c r="K15" s="6"/>
      <c r="L15" s="15">
        <f t="shared" ref="L15" si="4">F15/$J15</f>
        <v>0.90217391304347838</v>
      </c>
      <c r="M15" s="15">
        <f t="shared" si="3"/>
        <v>1.156633221850613</v>
      </c>
      <c r="N15" s="15">
        <f t="shared" si="3"/>
        <v>1.097238542890717</v>
      </c>
      <c r="O15" s="15">
        <f t="shared" si="3"/>
        <v>0.78449905482041593</v>
      </c>
    </row>
    <row r="16" spans="3:20" x14ac:dyDescent="0.25">
      <c r="C16" s="135"/>
      <c r="D16" s="42">
        <v>4</v>
      </c>
      <c r="E16" s="17" t="s">
        <v>129</v>
      </c>
      <c r="F16" s="32">
        <v>9.4736842105263161E-2</v>
      </c>
      <c r="G16" s="32">
        <v>0.1623931623931624</v>
      </c>
      <c r="H16" s="32">
        <v>0.35135135135135137</v>
      </c>
      <c r="I16" s="32">
        <v>0.25</v>
      </c>
      <c r="J16" s="31">
        <v>0.21686746987951808</v>
      </c>
      <c r="K16" s="6"/>
      <c r="L16" s="15">
        <f>F16/$J16</f>
        <v>0.43684210526315792</v>
      </c>
      <c r="M16" s="15">
        <f t="shared" si="3"/>
        <v>0.74881291547958218</v>
      </c>
      <c r="N16" s="15">
        <f t="shared" si="3"/>
        <v>1.6201201201201201</v>
      </c>
      <c r="O16" s="15">
        <f t="shared" si="3"/>
        <v>1.1527777777777777</v>
      </c>
    </row>
    <row r="17" spans="3:15" x14ac:dyDescent="0.25">
      <c r="C17" s="136"/>
      <c r="D17" s="42"/>
      <c r="E17" s="43" t="s">
        <v>137</v>
      </c>
      <c r="F17" s="44">
        <f>SUM(F13:F16)</f>
        <v>0.99999999999999989</v>
      </c>
      <c r="G17" s="44">
        <f>SUM(G13:G16)</f>
        <v>0.99999999999999989</v>
      </c>
      <c r="H17" s="44">
        <f>SUM(H13:H16)</f>
        <v>1</v>
      </c>
      <c r="I17" s="44">
        <f>SUM(I13:I16)</f>
        <v>1</v>
      </c>
      <c r="J17" s="44">
        <f>SUM(J13:J16)</f>
        <v>1</v>
      </c>
      <c r="K17" s="6"/>
      <c r="L17" s="15">
        <f>F17/$J17</f>
        <v>0.99999999999999989</v>
      </c>
      <c r="M17" s="15">
        <f t="shared" si="3"/>
        <v>0.99999999999999989</v>
      </c>
      <c r="N17" s="15">
        <f t="shared" si="3"/>
        <v>1</v>
      </c>
      <c r="O17" s="15">
        <f t="shared" si="3"/>
        <v>1</v>
      </c>
    </row>
    <row r="18" spans="3:15" x14ac:dyDescent="0.25">
      <c r="C18" s="25"/>
      <c r="D18" s="25"/>
      <c r="E18" s="13"/>
      <c r="F18" s="33"/>
      <c r="G18" s="33"/>
      <c r="H18" s="33"/>
      <c r="I18" s="33"/>
      <c r="J18" s="33"/>
      <c r="K18" s="6"/>
      <c r="L18" s="16"/>
      <c r="M18" s="16"/>
      <c r="N18" s="16"/>
      <c r="O18" s="16"/>
    </row>
    <row r="19" spans="3:15" x14ac:dyDescent="0.25">
      <c r="C19" s="25"/>
      <c r="D19" s="25"/>
      <c r="E19" s="13"/>
      <c r="F19" s="28">
        <v>1</v>
      </c>
      <c r="G19" s="28">
        <v>2</v>
      </c>
      <c r="H19" s="28">
        <v>3</v>
      </c>
      <c r="I19" s="28">
        <v>4</v>
      </c>
      <c r="J19" s="29" t="s">
        <v>136</v>
      </c>
      <c r="K19" s="6"/>
      <c r="L19" s="16"/>
      <c r="M19" s="16"/>
      <c r="N19" s="16"/>
      <c r="O19" s="16"/>
    </row>
    <row r="20" spans="3:15" x14ac:dyDescent="0.25">
      <c r="C20" s="134" t="s">
        <v>17</v>
      </c>
      <c r="D20" s="42">
        <v>1</v>
      </c>
      <c r="E20" s="14" t="s">
        <v>18</v>
      </c>
      <c r="F20" s="34">
        <v>0.2</v>
      </c>
      <c r="G20" s="34">
        <v>0.17094017094017094</v>
      </c>
      <c r="H20" s="34">
        <v>0.2072072072072072</v>
      </c>
      <c r="I20" s="34">
        <v>9.7826086956521743E-2</v>
      </c>
      <c r="J20" s="35">
        <v>0.1710843373493976</v>
      </c>
      <c r="K20" s="6"/>
      <c r="L20" s="15">
        <f>F20/$J20</f>
        <v>1.1690140845070423</v>
      </c>
      <c r="M20" s="15">
        <f t="shared" ref="M20:O26" si="5">G20/$J20</f>
        <v>0.99915733718550614</v>
      </c>
      <c r="N20" s="15">
        <f t="shared" si="5"/>
        <v>1.2111407181829716</v>
      </c>
      <c r="O20" s="15">
        <f t="shared" si="5"/>
        <v>0.57180036742192286</v>
      </c>
    </row>
    <row r="21" spans="3:15" x14ac:dyDescent="0.25">
      <c r="C21" s="135"/>
      <c r="D21" s="42">
        <v>2</v>
      </c>
      <c r="E21" s="14" t="s">
        <v>19</v>
      </c>
      <c r="F21" s="34">
        <v>0.22105263157894736</v>
      </c>
      <c r="G21" s="34">
        <v>0.20512820512820512</v>
      </c>
      <c r="H21" s="34">
        <v>0.1891891891891892</v>
      </c>
      <c r="I21" s="34">
        <v>0.17391304347826086</v>
      </c>
      <c r="J21" s="35">
        <v>0.19759036144578312</v>
      </c>
      <c r="K21" s="6"/>
      <c r="L21" s="15">
        <f t="shared" ref="L21:L24" si="6">F21/$J21</f>
        <v>1.1187419768934532</v>
      </c>
      <c r="M21" s="15">
        <f t="shared" si="5"/>
        <v>1.0381488430268919</v>
      </c>
      <c r="N21" s="15">
        <f t="shared" si="5"/>
        <v>0.95748187211601854</v>
      </c>
      <c r="O21" s="15">
        <f t="shared" si="5"/>
        <v>0.88016967126193002</v>
      </c>
    </row>
    <row r="22" spans="3:15" x14ac:dyDescent="0.25">
      <c r="C22" s="135"/>
      <c r="D22" s="42">
        <v>3</v>
      </c>
      <c r="E22" s="14" t="s">
        <v>20</v>
      </c>
      <c r="F22" s="32">
        <v>0.17894736842105263</v>
      </c>
      <c r="G22" s="32">
        <v>0.17094017094017094</v>
      </c>
      <c r="H22" s="32">
        <v>0.23423423423423423</v>
      </c>
      <c r="I22" s="32">
        <v>0.19565217391304349</v>
      </c>
      <c r="J22" s="35">
        <v>0.19518072289156627</v>
      </c>
      <c r="K22" s="6"/>
      <c r="L22" s="15">
        <f t="shared" si="6"/>
        <v>0.91682910981156596</v>
      </c>
      <c r="M22" s="15">
        <f t="shared" si="5"/>
        <v>0.87580457950828328</v>
      </c>
      <c r="N22" s="15">
        <f t="shared" si="5"/>
        <v>1.2000889778667556</v>
      </c>
      <c r="O22" s="15">
        <f t="shared" si="5"/>
        <v>1.0024154589371981</v>
      </c>
    </row>
    <row r="23" spans="3:15" x14ac:dyDescent="0.25">
      <c r="C23" s="135"/>
      <c r="D23" s="42">
        <v>4</v>
      </c>
      <c r="E23" s="14" t="s">
        <v>21</v>
      </c>
      <c r="F23" s="32">
        <v>0.11578947368421053</v>
      </c>
      <c r="G23" s="32">
        <v>0.12820512820512819</v>
      </c>
      <c r="H23" s="32">
        <v>0.11711711711711711</v>
      </c>
      <c r="I23" s="32">
        <v>0.15217391304347827</v>
      </c>
      <c r="J23" s="35">
        <v>0.12771084337349398</v>
      </c>
      <c r="L23" s="15">
        <f t="shared" si="6"/>
        <v>0.90665342601787491</v>
      </c>
      <c r="M23" s="15">
        <f>G23/$J23</f>
        <v>1.003870343492985</v>
      </c>
      <c r="N23" s="15">
        <f t="shared" si="5"/>
        <v>0.9170491245962944</v>
      </c>
      <c r="O23" s="15">
        <f t="shared" si="5"/>
        <v>1.1915504511894996</v>
      </c>
    </row>
    <row r="24" spans="3:15" x14ac:dyDescent="0.25">
      <c r="C24" s="135"/>
      <c r="D24" s="42">
        <v>5</v>
      </c>
      <c r="E24" s="14" t="s">
        <v>22</v>
      </c>
      <c r="F24" s="32">
        <v>0.12631578947368421</v>
      </c>
      <c r="G24" s="32">
        <v>0.15384615384615385</v>
      </c>
      <c r="H24" s="32">
        <v>0.13513513513513514</v>
      </c>
      <c r="I24" s="32">
        <v>0.21739130434782608</v>
      </c>
      <c r="J24" s="35">
        <v>0.15662650602409639</v>
      </c>
      <c r="L24" s="15">
        <f t="shared" si="6"/>
        <v>0.80647773279352231</v>
      </c>
      <c r="M24" s="15">
        <f t="shared" si="5"/>
        <v>0.98224852071005919</v>
      </c>
      <c r="N24" s="15">
        <f t="shared" si="5"/>
        <v>0.86278586278586278</v>
      </c>
      <c r="O24" s="15">
        <f t="shared" si="5"/>
        <v>1.3879598662207357</v>
      </c>
    </row>
    <row r="25" spans="3:15" x14ac:dyDescent="0.25">
      <c r="C25" s="135"/>
      <c r="D25" s="42">
        <v>6</v>
      </c>
      <c r="E25" s="14" t="s">
        <v>23</v>
      </c>
      <c r="F25" s="32">
        <v>0.15789473684210525</v>
      </c>
      <c r="G25" s="32">
        <v>0.17094017094017094</v>
      </c>
      <c r="H25" s="32">
        <v>0.11711711711711711</v>
      </c>
      <c r="I25" s="32">
        <v>0.16304347826086957</v>
      </c>
      <c r="J25" s="35">
        <v>0.15180722891566265</v>
      </c>
      <c r="L25" s="15">
        <f>F25/$J25</f>
        <v>1.0401002506265664</v>
      </c>
      <c r="M25" s="15">
        <f t="shared" si="5"/>
        <v>1.1260344593677927</v>
      </c>
      <c r="N25" s="15">
        <f t="shared" si="5"/>
        <v>0.77148577148577147</v>
      </c>
      <c r="O25" s="15">
        <f t="shared" si="5"/>
        <v>1.074016563146998</v>
      </c>
    </row>
    <row r="26" spans="3:15" x14ac:dyDescent="0.25">
      <c r="C26" s="136"/>
      <c r="D26" s="42"/>
      <c r="E26" s="43" t="s">
        <v>137</v>
      </c>
      <c r="F26" s="44">
        <f t="shared" ref="F26:I26" si="7">SUM(F20:F25)</f>
        <v>1</v>
      </c>
      <c r="G26" s="44">
        <f t="shared" si="7"/>
        <v>1</v>
      </c>
      <c r="H26" s="44">
        <f t="shared" si="7"/>
        <v>1</v>
      </c>
      <c r="I26" s="44">
        <f t="shared" si="7"/>
        <v>1</v>
      </c>
      <c r="J26" s="44">
        <f>SUM(J20:J25)</f>
        <v>1</v>
      </c>
      <c r="L26" s="15">
        <f>F26/$J26</f>
        <v>1</v>
      </c>
      <c r="M26" s="15">
        <f t="shared" si="5"/>
        <v>1</v>
      </c>
      <c r="N26" s="15">
        <f t="shared" si="5"/>
        <v>1</v>
      </c>
      <c r="O26" s="15">
        <f t="shared" si="5"/>
        <v>1</v>
      </c>
    </row>
    <row r="27" spans="3:15" x14ac:dyDescent="0.25">
      <c r="C27" s="25"/>
      <c r="D27" s="25"/>
      <c r="E27" s="13"/>
      <c r="F27" s="33"/>
      <c r="G27" s="33"/>
      <c r="H27" s="33"/>
      <c r="I27" s="33"/>
      <c r="J27" s="33"/>
      <c r="L27" s="16"/>
      <c r="M27" s="16"/>
      <c r="N27" s="16"/>
      <c r="O27" s="16"/>
    </row>
    <row r="28" spans="3:15" x14ac:dyDescent="0.25">
      <c r="C28" s="25"/>
      <c r="D28" s="25"/>
      <c r="E28" s="13"/>
      <c r="F28" s="28">
        <v>1</v>
      </c>
      <c r="G28" s="28">
        <v>2</v>
      </c>
      <c r="H28" s="28">
        <v>3</v>
      </c>
      <c r="I28" s="28">
        <v>4</v>
      </c>
      <c r="J28" s="29" t="s">
        <v>136</v>
      </c>
      <c r="K28" s="6"/>
      <c r="L28" s="16"/>
      <c r="M28" s="16"/>
      <c r="N28" s="16"/>
      <c r="O28" s="16"/>
    </row>
    <row r="29" spans="3:15" x14ac:dyDescent="0.25">
      <c r="C29" s="134" t="s">
        <v>362</v>
      </c>
      <c r="D29" s="42">
        <v>1</v>
      </c>
      <c r="E29" s="14" t="s">
        <v>16</v>
      </c>
      <c r="F29" s="34">
        <v>0.61052631578947369</v>
      </c>
      <c r="G29" s="34">
        <v>0.74358974358974361</v>
      </c>
      <c r="H29" s="34">
        <v>0.84684684684684686</v>
      </c>
      <c r="I29" s="34">
        <v>0.68478260869565222</v>
      </c>
      <c r="J29" s="31">
        <v>0.72771084337349401</v>
      </c>
      <c r="K29" s="6"/>
      <c r="L29" s="15">
        <f>F29/$J29</f>
        <v>0.83896828163123038</v>
      </c>
      <c r="M29" s="15">
        <f t="shared" ref="M29:O32" si="8">G29/$J29</f>
        <v>1.021820343012396</v>
      </c>
      <c r="N29" s="15">
        <f t="shared" si="8"/>
        <v>1.1637133822564285</v>
      </c>
      <c r="O29" s="15">
        <f t="shared" si="8"/>
        <v>0.94100921393607828</v>
      </c>
    </row>
    <row r="30" spans="3:15" x14ac:dyDescent="0.25">
      <c r="C30" s="135"/>
      <c r="D30" s="42">
        <v>2</v>
      </c>
      <c r="E30" s="14" t="s">
        <v>11</v>
      </c>
      <c r="F30" s="34">
        <v>0.24210526315789474</v>
      </c>
      <c r="G30" s="34">
        <v>0.13675213675213677</v>
      </c>
      <c r="H30" s="34">
        <v>8.1081081081081086E-2</v>
      </c>
      <c r="I30" s="34">
        <v>0.22826086956521738</v>
      </c>
      <c r="J30" s="31">
        <v>0.16626506024096385</v>
      </c>
      <c r="K30" s="6"/>
      <c r="L30" s="15">
        <f t="shared" ref="L30:L32" si="9">F30/$J30</f>
        <v>1.4561403508771931</v>
      </c>
      <c r="M30" s="15">
        <f t="shared" si="8"/>
        <v>0.82249473553821395</v>
      </c>
      <c r="N30" s="15">
        <f t="shared" si="8"/>
        <v>0.48766157461809639</v>
      </c>
      <c r="O30" s="15">
        <f t="shared" si="8"/>
        <v>1.3728733459357276</v>
      </c>
    </row>
    <row r="31" spans="3:15" x14ac:dyDescent="0.25">
      <c r="C31" s="135"/>
      <c r="D31" s="42">
        <v>3</v>
      </c>
      <c r="E31" s="14" t="s">
        <v>131</v>
      </c>
      <c r="F31" s="32">
        <v>0.14736842105263157</v>
      </c>
      <c r="G31" s="32">
        <v>0.11965811965811966</v>
      </c>
      <c r="H31" s="32">
        <v>7.2072072072072071E-2</v>
      </c>
      <c r="I31" s="32">
        <v>8.6956521739130432E-2</v>
      </c>
      <c r="J31" s="31">
        <v>0.10602409638554217</v>
      </c>
      <c r="K31" s="6"/>
      <c r="L31" s="15">
        <f t="shared" si="9"/>
        <v>1.3899521531100478</v>
      </c>
      <c r="M31" s="15">
        <f t="shared" si="8"/>
        <v>1.1285936285936287</v>
      </c>
      <c r="N31" s="15">
        <f t="shared" si="8"/>
        <v>0.67977067977067973</v>
      </c>
      <c r="O31" s="15">
        <f t="shared" si="8"/>
        <v>0.82015810276679846</v>
      </c>
    </row>
    <row r="32" spans="3:15" x14ac:dyDescent="0.25">
      <c r="C32" s="136"/>
      <c r="D32" s="42"/>
      <c r="E32" s="43" t="s">
        <v>137</v>
      </c>
      <c r="F32" s="44">
        <f>SUM(F29:F31)</f>
        <v>1</v>
      </c>
      <c r="G32" s="44">
        <f t="shared" ref="G32:I32" si="10">SUM(G29:G31)</f>
        <v>1</v>
      </c>
      <c r="H32" s="44">
        <f t="shared" si="10"/>
        <v>1</v>
      </c>
      <c r="I32" s="44">
        <f t="shared" si="10"/>
        <v>1</v>
      </c>
      <c r="J32" s="44">
        <f>SUM(J29:J31)</f>
        <v>1</v>
      </c>
      <c r="K32" s="6"/>
      <c r="L32" s="15">
        <f t="shared" si="9"/>
        <v>1</v>
      </c>
      <c r="M32" s="15">
        <f t="shared" si="8"/>
        <v>1</v>
      </c>
      <c r="N32" s="15">
        <f t="shared" si="8"/>
        <v>1</v>
      </c>
      <c r="O32" s="15">
        <f t="shared" si="8"/>
        <v>1</v>
      </c>
    </row>
    <row r="33" spans="3:17" x14ac:dyDescent="0.25">
      <c r="C33" s="25"/>
      <c r="D33" s="25"/>
      <c r="E33" s="13"/>
      <c r="F33" s="33"/>
      <c r="G33" s="33"/>
      <c r="H33" s="33"/>
      <c r="I33" s="33"/>
      <c r="J33" s="33"/>
      <c r="K33" s="6"/>
      <c r="L33" s="16"/>
      <c r="M33" s="16"/>
      <c r="N33" s="16"/>
      <c r="O33" s="16"/>
    </row>
    <row r="34" spans="3:17" x14ac:dyDescent="0.25">
      <c r="C34" s="25"/>
      <c r="D34" s="25"/>
      <c r="E34" s="13"/>
      <c r="F34" s="33"/>
      <c r="G34" s="33"/>
      <c r="H34" s="33"/>
      <c r="I34" s="33"/>
      <c r="J34" s="33"/>
      <c r="K34" s="6"/>
      <c r="L34" s="16"/>
      <c r="M34" s="16"/>
      <c r="N34" s="16"/>
      <c r="O34" s="16"/>
    </row>
    <row r="35" spans="3:17" x14ac:dyDescent="0.25">
      <c r="C35" s="25"/>
      <c r="D35" s="25"/>
      <c r="E35" s="13"/>
      <c r="F35" s="28">
        <v>1</v>
      </c>
      <c r="G35" s="28">
        <v>2</v>
      </c>
      <c r="H35" s="28">
        <v>3</v>
      </c>
      <c r="I35" s="28">
        <v>4</v>
      </c>
      <c r="J35" s="29" t="s">
        <v>136</v>
      </c>
      <c r="K35" s="6"/>
      <c r="L35" s="16"/>
      <c r="M35" s="16"/>
      <c r="N35" s="16"/>
      <c r="O35" s="16"/>
    </row>
    <row r="36" spans="3:17" x14ac:dyDescent="0.25">
      <c r="C36" s="134" t="s">
        <v>363</v>
      </c>
      <c r="D36" s="42">
        <v>1</v>
      </c>
      <c r="E36" s="14" t="s">
        <v>25</v>
      </c>
      <c r="F36" s="34">
        <v>0.21052631578947367</v>
      </c>
      <c r="G36" s="34">
        <v>0.33333333333333331</v>
      </c>
      <c r="H36" s="34">
        <v>0.21621621621621623</v>
      </c>
      <c r="I36" s="34">
        <v>0.31521739130434784</v>
      </c>
      <c r="J36" s="36">
        <v>0.26987951807228916</v>
      </c>
      <c r="K36" s="6"/>
      <c r="L36" s="15">
        <f>F36/$J36</f>
        <v>0.78007518796992481</v>
      </c>
      <c r="M36" s="15">
        <f t="shared" ref="M36:O41" si="11">G36/$J36</f>
        <v>1.2351190476190474</v>
      </c>
      <c r="N36" s="15">
        <f t="shared" si="11"/>
        <v>0.80115830115830122</v>
      </c>
      <c r="O36" s="15">
        <f t="shared" si="11"/>
        <v>1.1679930124223603</v>
      </c>
    </row>
    <row r="37" spans="3:17" x14ac:dyDescent="0.25">
      <c r="C37" s="135"/>
      <c r="D37" s="42">
        <v>2</v>
      </c>
      <c r="E37" s="14" t="s">
        <v>26</v>
      </c>
      <c r="F37" s="34">
        <v>0.17894736842105263</v>
      </c>
      <c r="G37" s="34">
        <v>8.5470085470085472E-2</v>
      </c>
      <c r="H37" s="34">
        <v>0.11711711711711711</v>
      </c>
      <c r="I37" s="34">
        <v>0.13043478260869565</v>
      </c>
      <c r="J37" s="36">
        <v>0.12530120481927712</v>
      </c>
      <c r="K37" s="6"/>
      <c r="L37" s="15">
        <f t="shared" ref="L37:L41" si="12">F37/$J37</f>
        <v>1.4281376518218623</v>
      </c>
      <c r="M37" s="15">
        <f t="shared" si="11"/>
        <v>0.68211702827087439</v>
      </c>
      <c r="N37" s="15">
        <f t="shared" si="11"/>
        <v>0.93468468468468457</v>
      </c>
      <c r="O37" s="15">
        <f t="shared" si="11"/>
        <v>1.0409698996655516</v>
      </c>
    </row>
    <row r="38" spans="3:17" x14ac:dyDescent="0.25">
      <c r="C38" s="135"/>
      <c r="D38" s="42">
        <v>3</v>
      </c>
      <c r="E38" s="14" t="s">
        <v>27</v>
      </c>
      <c r="F38" s="34">
        <v>0.26315789473684209</v>
      </c>
      <c r="G38" s="34">
        <v>0.3247863247863248</v>
      </c>
      <c r="H38" s="34">
        <v>0.45045045045045046</v>
      </c>
      <c r="I38" s="34">
        <v>0.30434782608695654</v>
      </c>
      <c r="J38" s="36">
        <v>0.33975903614457831</v>
      </c>
      <c r="K38" s="6"/>
      <c r="L38" s="15">
        <f t="shared" si="12"/>
        <v>0.77454273982829414</v>
      </c>
      <c r="M38" s="15">
        <f t="shared" si="11"/>
        <v>0.95593138146329637</v>
      </c>
      <c r="N38" s="15">
        <f t="shared" si="11"/>
        <v>1.3257938789853685</v>
      </c>
      <c r="O38" s="15">
        <f t="shared" si="11"/>
        <v>0.89577551649707066</v>
      </c>
    </row>
    <row r="39" spans="3:17" x14ac:dyDescent="0.25">
      <c r="C39" s="135"/>
      <c r="D39" s="42">
        <v>4</v>
      </c>
      <c r="E39" s="14" t="s">
        <v>28</v>
      </c>
      <c r="F39" s="34">
        <v>0.21052631578947367</v>
      </c>
      <c r="G39" s="34">
        <v>0.13675213675213677</v>
      </c>
      <c r="H39" s="34">
        <v>0.13513513513513514</v>
      </c>
      <c r="I39" s="34">
        <v>0.13043478260869565</v>
      </c>
      <c r="J39" s="36">
        <v>0.15180722891566265</v>
      </c>
      <c r="K39" s="6"/>
      <c r="L39" s="15">
        <f t="shared" si="12"/>
        <v>1.3868003341687551</v>
      </c>
      <c r="M39" s="15">
        <f t="shared" si="11"/>
        <v>0.90082756749423432</v>
      </c>
      <c r="N39" s="15">
        <f t="shared" si="11"/>
        <v>0.89017589017589027</v>
      </c>
      <c r="O39" s="15">
        <f t="shared" si="11"/>
        <v>0.85921325051759834</v>
      </c>
    </row>
    <row r="40" spans="3:17" x14ac:dyDescent="0.25">
      <c r="C40" s="135"/>
      <c r="D40" s="42">
        <v>5</v>
      </c>
      <c r="E40" s="14" t="s">
        <v>29</v>
      </c>
      <c r="F40" s="34">
        <v>2.1052631578947368E-2</v>
      </c>
      <c r="G40" s="34">
        <v>1.7094017094017096E-2</v>
      </c>
      <c r="H40" s="34">
        <v>4.5045045045045043E-2</v>
      </c>
      <c r="I40" s="34">
        <v>1.0869565217391304E-2</v>
      </c>
      <c r="J40" s="36">
        <v>2.4096385542168676E-2</v>
      </c>
      <c r="K40" s="6"/>
      <c r="L40" s="15">
        <f t="shared" si="12"/>
        <v>0.87368421052631573</v>
      </c>
      <c r="M40" s="15">
        <f t="shared" si="11"/>
        <v>0.70940170940170943</v>
      </c>
      <c r="N40" s="15">
        <f t="shared" si="11"/>
        <v>1.8693693693693691</v>
      </c>
      <c r="O40" s="15">
        <f t="shared" si="11"/>
        <v>0.45108695652173908</v>
      </c>
    </row>
    <row r="41" spans="3:17" x14ac:dyDescent="0.25">
      <c r="C41" s="135"/>
      <c r="D41" s="42">
        <v>6</v>
      </c>
      <c r="E41" s="14" t="s">
        <v>30</v>
      </c>
      <c r="F41" s="34">
        <v>0.11578947368421053</v>
      </c>
      <c r="G41" s="34">
        <v>0.10256410256410256</v>
      </c>
      <c r="H41" s="34">
        <v>3.6036036036036036E-2</v>
      </c>
      <c r="I41" s="34">
        <v>0.10869565217391304</v>
      </c>
      <c r="J41" s="36">
        <v>8.91566265060241E-2</v>
      </c>
      <c r="K41" s="6"/>
      <c r="L41" s="15">
        <f t="shared" si="12"/>
        <v>1.298719772403983</v>
      </c>
      <c r="M41" s="15">
        <f t="shared" si="11"/>
        <v>1.1503811503811503</v>
      </c>
      <c r="N41" s="15">
        <f t="shared" si="11"/>
        <v>0.40418797175553928</v>
      </c>
      <c r="O41" s="15">
        <f t="shared" si="11"/>
        <v>1.2191539365452408</v>
      </c>
    </row>
    <row r="42" spans="3:17" x14ac:dyDescent="0.25">
      <c r="C42" s="136"/>
      <c r="D42" s="42"/>
      <c r="E42" s="43" t="s">
        <v>137</v>
      </c>
      <c r="F42" s="44">
        <f>SUM(F36:F41)</f>
        <v>1</v>
      </c>
      <c r="G42" s="44">
        <f t="shared" ref="G42:J42" si="13">SUM(G36:G41)</f>
        <v>1</v>
      </c>
      <c r="H42" s="44">
        <f t="shared" si="13"/>
        <v>0.99999999999999989</v>
      </c>
      <c r="I42" s="44">
        <f t="shared" si="13"/>
        <v>1</v>
      </c>
      <c r="J42" s="44">
        <f t="shared" si="13"/>
        <v>1</v>
      </c>
      <c r="K42" s="6"/>
      <c r="L42" s="15">
        <f>F42/$J42</f>
        <v>1</v>
      </c>
      <c r="M42" s="15">
        <f>G42/$J42</f>
        <v>1</v>
      </c>
      <c r="N42" s="15">
        <f>H42/$J42</f>
        <v>0.99999999999999989</v>
      </c>
      <c r="O42" s="15">
        <f>I42/$J42</f>
        <v>1</v>
      </c>
      <c r="Q42" s="21"/>
    </row>
    <row r="43" spans="3:17" x14ac:dyDescent="0.25">
      <c r="C43" s="25"/>
      <c r="D43" s="25"/>
      <c r="K43" s="6"/>
      <c r="Q43" s="21"/>
    </row>
    <row r="44" spans="3:17" x14ac:dyDescent="0.25">
      <c r="C44" s="25"/>
      <c r="D44" s="25"/>
      <c r="F44" s="28">
        <v>1</v>
      </c>
      <c r="G44" s="28">
        <v>2</v>
      </c>
      <c r="H44" s="28">
        <v>3</v>
      </c>
      <c r="I44" s="28">
        <v>4</v>
      </c>
      <c r="J44" s="29" t="s">
        <v>136</v>
      </c>
      <c r="K44" s="6"/>
      <c r="Q44" s="21"/>
    </row>
    <row r="45" spans="3:17" x14ac:dyDescent="0.25">
      <c r="C45" s="130" t="s">
        <v>365</v>
      </c>
      <c r="D45" s="25">
        <v>1</v>
      </c>
      <c r="E45" s="20" t="s">
        <v>248</v>
      </c>
      <c r="F45" s="46">
        <v>0.4</v>
      </c>
      <c r="G45" s="46">
        <v>0.38461538461538464</v>
      </c>
      <c r="H45" s="46">
        <v>0.45945945945945948</v>
      </c>
      <c r="I45" s="46">
        <v>0.39130434782608697</v>
      </c>
      <c r="J45" s="46">
        <v>0.40963855421686746</v>
      </c>
      <c r="K45" s="6"/>
      <c r="L45" s="15">
        <f t="shared" ref="L45:L51" si="14">F45/$J45</f>
        <v>0.9764705882352942</v>
      </c>
      <c r="M45" s="15">
        <f t="shared" ref="M45:M50" si="15">G45/$J45</f>
        <v>0.93891402714932137</v>
      </c>
      <c r="N45" s="15">
        <f t="shared" ref="N45:N50" si="16">H45/$J45</f>
        <v>1.1216216216216217</v>
      </c>
      <c r="O45" s="15">
        <f t="shared" ref="O45:O50" si="17">I45/$J45</f>
        <v>0.95524296675191822</v>
      </c>
      <c r="Q45" s="21"/>
    </row>
    <row r="46" spans="3:17" ht="15" customHeight="1" x14ac:dyDescent="0.25">
      <c r="C46" s="131"/>
      <c r="D46" s="38">
        <v>2</v>
      </c>
      <c r="E46" s="20" t="s">
        <v>249</v>
      </c>
      <c r="F46" s="46">
        <v>0.45263157894736844</v>
      </c>
      <c r="G46" s="46">
        <v>0.28205128205128205</v>
      </c>
      <c r="H46" s="46">
        <v>0.29729729729729731</v>
      </c>
      <c r="I46" s="46">
        <v>0.29347826086956524</v>
      </c>
      <c r="J46" s="46">
        <v>0.32771084337349399</v>
      </c>
      <c r="K46" s="6"/>
      <c r="L46" s="15">
        <f t="shared" si="14"/>
        <v>1.3811919504643964</v>
      </c>
      <c r="M46" s="15">
        <f t="shared" si="15"/>
        <v>0.86067119155354443</v>
      </c>
      <c r="N46" s="15">
        <f t="shared" si="16"/>
        <v>0.90719395866454688</v>
      </c>
      <c r="O46" s="15">
        <f t="shared" si="17"/>
        <v>0.89554028132992336</v>
      </c>
      <c r="Q46" s="21"/>
    </row>
    <row r="47" spans="3:17" ht="15" customHeight="1" x14ac:dyDescent="0.25">
      <c r="C47" s="131"/>
      <c r="D47" s="25">
        <v>3</v>
      </c>
      <c r="E47" s="17" t="s">
        <v>250</v>
      </c>
      <c r="F47" s="32">
        <v>0.47368421052631576</v>
      </c>
      <c r="G47" s="32">
        <v>0.41880341880341881</v>
      </c>
      <c r="H47" s="32">
        <v>0.49549549549549549</v>
      </c>
      <c r="I47" s="32">
        <v>0.46739130434782611</v>
      </c>
      <c r="J47" s="32">
        <v>0.46265060240963857</v>
      </c>
      <c r="K47" s="6"/>
      <c r="L47" s="15">
        <f t="shared" si="14"/>
        <v>1.0238486842105263</v>
      </c>
      <c r="M47" s="15">
        <f t="shared" si="15"/>
        <v>0.90522613960113962</v>
      </c>
      <c r="N47" s="15">
        <f t="shared" si="16"/>
        <v>1.0709928678678677</v>
      </c>
      <c r="O47" s="15">
        <f t="shared" si="17"/>
        <v>1.010246829710145</v>
      </c>
      <c r="Q47" s="21"/>
    </row>
    <row r="48" spans="3:17" ht="15" customHeight="1" x14ac:dyDescent="0.25">
      <c r="C48" s="131"/>
      <c r="D48" s="38">
        <v>4</v>
      </c>
      <c r="E48" s="20" t="s">
        <v>251</v>
      </c>
      <c r="F48" s="46">
        <v>8.4210526315789472E-2</v>
      </c>
      <c r="G48" s="46">
        <v>7.6923076923076927E-2</v>
      </c>
      <c r="H48" s="46">
        <v>9.0090090090090086E-2</v>
      </c>
      <c r="I48" s="46">
        <v>6.5217391304347824E-2</v>
      </c>
      <c r="J48" s="46">
        <v>7.9518072289156624E-2</v>
      </c>
      <c r="K48" s="6"/>
      <c r="L48" s="15">
        <f t="shared" si="14"/>
        <v>1.0590111642743221</v>
      </c>
      <c r="M48" s="15">
        <f t="shared" si="15"/>
        <v>0.96736596736596747</v>
      </c>
      <c r="N48" s="15">
        <f t="shared" si="16"/>
        <v>1.132951132951133</v>
      </c>
      <c r="O48" s="15">
        <f t="shared" si="17"/>
        <v>0.82015810276679846</v>
      </c>
      <c r="Q48" s="21"/>
    </row>
    <row r="49" spans="3:17" x14ac:dyDescent="0.25">
      <c r="C49" s="131"/>
      <c r="D49" s="25">
        <v>5</v>
      </c>
      <c r="E49" s="20" t="s">
        <v>252</v>
      </c>
      <c r="F49" s="46">
        <v>0.12631578947368421</v>
      </c>
      <c r="G49" s="46">
        <v>0.12820512820512819</v>
      </c>
      <c r="H49" s="46">
        <v>7.2072072072072071E-2</v>
      </c>
      <c r="I49" s="46">
        <v>0.16304347826086957</v>
      </c>
      <c r="J49" s="46">
        <v>0.12048192771084337</v>
      </c>
      <c r="K49" s="6"/>
      <c r="L49" s="15">
        <f t="shared" si="14"/>
        <v>1.0484210526315789</v>
      </c>
      <c r="M49" s="15">
        <f t="shared" si="15"/>
        <v>1.0641025641025641</v>
      </c>
      <c r="N49" s="15">
        <f t="shared" si="16"/>
        <v>0.59819819819819819</v>
      </c>
      <c r="O49" s="15">
        <f t="shared" si="17"/>
        <v>1.3532608695652175</v>
      </c>
      <c r="Q49" s="21"/>
    </row>
    <row r="50" spans="3:17" x14ac:dyDescent="0.25">
      <c r="C50" s="131"/>
      <c r="D50" s="38">
        <v>6</v>
      </c>
      <c r="E50" s="17" t="s">
        <v>253</v>
      </c>
      <c r="F50" s="32">
        <v>0.31578947368421051</v>
      </c>
      <c r="G50" s="32">
        <v>0.33333333333333331</v>
      </c>
      <c r="H50" s="32">
        <v>0.36036036036036034</v>
      </c>
      <c r="I50" s="32">
        <v>0.30434782608695654</v>
      </c>
      <c r="J50" s="32">
        <v>0.33012048192771082</v>
      </c>
      <c r="K50" s="6"/>
      <c r="L50" s="15">
        <f t="shared" si="14"/>
        <v>0.95658855167114865</v>
      </c>
      <c r="M50" s="15">
        <f t="shared" si="15"/>
        <v>1.0097323600973236</v>
      </c>
      <c r="N50" s="15">
        <f t="shared" si="16"/>
        <v>1.0916025514565662</v>
      </c>
      <c r="O50" s="15">
        <f t="shared" si="17"/>
        <v>0.92192954617581735</v>
      </c>
      <c r="Q50" s="21"/>
    </row>
    <row r="51" spans="3:17" x14ac:dyDescent="0.25">
      <c r="C51" s="131"/>
      <c r="D51" s="25">
        <v>7</v>
      </c>
      <c r="E51" s="48" t="s">
        <v>254</v>
      </c>
      <c r="F51" s="46">
        <v>8.4210526315789472E-2</v>
      </c>
      <c r="G51" s="46">
        <v>8.5470085470085472E-2</v>
      </c>
      <c r="H51" s="46">
        <v>7.2072072072072071E-2</v>
      </c>
      <c r="I51" s="46">
        <v>6.5217391304347824E-2</v>
      </c>
      <c r="J51" s="46">
        <v>7.7108433734939766E-2</v>
      </c>
      <c r="K51" s="6"/>
      <c r="L51" s="15">
        <f t="shared" si="14"/>
        <v>1.0921052631578947</v>
      </c>
      <c r="M51" s="15">
        <f>G51/$J51</f>
        <v>1.1084401709401708</v>
      </c>
      <c r="N51" s="15">
        <f>H51/$J51</f>
        <v>0.93468468468468457</v>
      </c>
      <c r="O51" s="15">
        <f>I51/$J51</f>
        <v>0.84578804347826075</v>
      </c>
      <c r="Q51" s="21"/>
    </row>
    <row r="52" spans="3:17" x14ac:dyDescent="0.25">
      <c r="C52" s="131"/>
      <c r="D52" s="38">
        <v>8</v>
      </c>
      <c r="E52" s="48" t="s">
        <v>255</v>
      </c>
      <c r="F52" s="46">
        <v>0.1368421052631579</v>
      </c>
      <c r="G52" s="46">
        <v>0.22222222222222221</v>
      </c>
      <c r="H52" s="46">
        <v>0.11711711711711711</v>
      </c>
      <c r="I52" s="46">
        <v>0.19565217391304349</v>
      </c>
      <c r="J52" s="46">
        <v>0.16867469879518071</v>
      </c>
      <c r="K52" s="6"/>
      <c r="L52" s="15">
        <f t="shared" ref="L52:L54" si="18">F52/$J52</f>
        <v>0.81127819548872193</v>
      </c>
      <c r="M52" s="15">
        <f t="shared" ref="M52:M54" si="19">G52/$J52</f>
        <v>1.3174603174603174</v>
      </c>
      <c r="N52" s="15">
        <f t="shared" ref="N52:N54" si="20">H52/$J52</f>
        <v>0.69433719433719432</v>
      </c>
      <c r="O52" s="15">
        <f t="shared" ref="O52:O54" si="21">I52/$J52</f>
        <v>1.1599378881987579</v>
      </c>
      <c r="Q52" s="21"/>
    </row>
    <row r="53" spans="3:17" x14ac:dyDescent="0.25">
      <c r="C53" s="131"/>
      <c r="D53" s="25">
        <v>9</v>
      </c>
      <c r="E53" s="48" t="s">
        <v>256</v>
      </c>
      <c r="F53" s="46">
        <v>0.10526315789473684</v>
      </c>
      <c r="G53" s="46">
        <v>0.10256410256410256</v>
      </c>
      <c r="H53" s="46">
        <v>4.5045045045045043E-2</v>
      </c>
      <c r="I53" s="46">
        <v>4.3478260869565216E-2</v>
      </c>
      <c r="J53" s="46">
        <v>7.4698795180722893E-2</v>
      </c>
      <c r="K53" s="6"/>
      <c r="L53" s="15">
        <f t="shared" si="18"/>
        <v>1.4091680814940577</v>
      </c>
      <c r="M53" s="15">
        <f t="shared" si="19"/>
        <v>1.3730355665839535</v>
      </c>
      <c r="N53" s="15">
        <f t="shared" si="20"/>
        <v>0.60302237721592555</v>
      </c>
      <c r="O53" s="15">
        <f t="shared" si="21"/>
        <v>0.58204768583450206</v>
      </c>
      <c r="Q53" s="21"/>
    </row>
    <row r="54" spans="3:17" x14ac:dyDescent="0.25">
      <c r="C54" s="131"/>
      <c r="D54" s="38">
        <v>10</v>
      </c>
      <c r="E54" s="48" t="s">
        <v>257</v>
      </c>
      <c r="F54" s="46">
        <v>0.15789473684210525</v>
      </c>
      <c r="G54" s="46">
        <v>7.6923076923076927E-2</v>
      </c>
      <c r="H54" s="46">
        <v>3.6036036036036036E-2</v>
      </c>
      <c r="I54" s="46">
        <v>0.11956521739130435</v>
      </c>
      <c r="J54" s="46">
        <v>9.3975903614457831E-2</v>
      </c>
      <c r="K54" s="6"/>
      <c r="L54" s="15">
        <f t="shared" si="18"/>
        <v>1.680161943319838</v>
      </c>
      <c r="M54" s="15">
        <f t="shared" si="19"/>
        <v>0.81854043392504938</v>
      </c>
      <c r="N54" s="15">
        <f t="shared" si="20"/>
        <v>0.38346038346038347</v>
      </c>
      <c r="O54" s="15">
        <f t="shared" si="21"/>
        <v>1.2722965440356746</v>
      </c>
      <c r="Q54" s="21"/>
    </row>
    <row r="55" spans="3:17" x14ac:dyDescent="0.25">
      <c r="C55" s="131"/>
      <c r="D55" s="25">
        <v>11</v>
      </c>
      <c r="E55" s="48" t="s">
        <v>258</v>
      </c>
      <c r="F55" s="46">
        <v>0.24210526315789474</v>
      </c>
      <c r="G55" s="46">
        <v>0.30769230769230771</v>
      </c>
      <c r="H55" s="46">
        <v>0.26126126126126126</v>
      </c>
      <c r="I55" s="46">
        <v>0.34782608695652173</v>
      </c>
      <c r="J55" s="46">
        <v>0.28915662650602408</v>
      </c>
      <c r="K55" s="6"/>
      <c r="L55" s="15">
        <f t="shared" ref="L55:L64" si="22">F55/$J55</f>
        <v>0.83728070175438596</v>
      </c>
      <c r="M55" s="15">
        <f t="shared" ref="M55:M64" si="23">G55/$J55</f>
        <v>1.0641025641025643</v>
      </c>
      <c r="N55" s="15">
        <f t="shared" ref="N55:N63" si="24">H55/$J55</f>
        <v>0.90352852852852861</v>
      </c>
      <c r="O55" s="15">
        <f t="shared" ref="O55:O64" si="25">I55/$J55</f>
        <v>1.2028985507246377</v>
      </c>
      <c r="Q55" s="21"/>
    </row>
    <row r="56" spans="3:17" x14ac:dyDescent="0.25">
      <c r="C56" s="131"/>
      <c r="D56" s="38">
        <v>12</v>
      </c>
      <c r="E56" s="48" t="s">
        <v>259</v>
      </c>
      <c r="F56" s="46">
        <v>1.0526315789473684E-2</v>
      </c>
      <c r="G56" s="46">
        <v>3.4188034188034191E-2</v>
      </c>
      <c r="H56" s="46">
        <v>9.0090090090090086E-2</v>
      </c>
      <c r="I56" s="46">
        <v>5.434782608695652E-2</v>
      </c>
      <c r="J56" s="46">
        <v>4.8192771084337352E-2</v>
      </c>
      <c r="K56" s="6"/>
      <c r="L56" s="15">
        <f t="shared" si="22"/>
        <v>0.21842105263157893</v>
      </c>
      <c r="M56" s="15">
        <f t="shared" si="23"/>
        <v>0.70940170940170943</v>
      </c>
      <c r="N56" s="15">
        <f t="shared" si="24"/>
        <v>1.8693693693693691</v>
      </c>
      <c r="O56" s="15">
        <f t="shared" si="25"/>
        <v>1.1277173913043477</v>
      </c>
      <c r="Q56" s="21"/>
    </row>
    <row r="57" spans="3:17" x14ac:dyDescent="0.25">
      <c r="C57" s="131"/>
      <c r="D57" s="25">
        <v>13</v>
      </c>
      <c r="E57" s="48" t="s">
        <v>260</v>
      </c>
      <c r="F57" s="46">
        <v>7.3684210526315783E-2</v>
      </c>
      <c r="G57" s="46">
        <v>8.5470085470085472E-2</v>
      </c>
      <c r="H57" s="46">
        <v>9.90990990990991E-2</v>
      </c>
      <c r="I57" s="46">
        <v>5.434782608695652E-2</v>
      </c>
      <c r="J57" s="46">
        <v>7.9518072289156624E-2</v>
      </c>
      <c r="K57" s="6"/>
      <c r="L57" s="15">
        <f t="shared" si="22"/>
        <v>0.92663476874003181</v>
      </c>
      <c r="M57" s="15">
        <f t="shared" si="23"/>
        <v>1.0748510748510749</v>
      </c>
      <c r="N57" s="15">
        <f t="shared" si="24"/>
        <v>1.2462462462462462</v>
      </c>
      <c r="O57" s="15">
        <f t="shared" si="25"/>
        <v>0.68346508563899866</v>
      </c>
      <c r="Q57" s="21"/>
    </row>
    <row r="58" spans="3:17" x14ac:dyDescent="0.25">
      <c r="C58" s="131"/>
      <c r="D58" s="38">
        <v>14</v>
      </c>
      <c r="E58" s="52" t="s">
        <v>261</v>
      </c>
      <c r="F58" s="46">
        <v>5.2631578947368418E-2</v>
      </c>
      <c r="G58" s="46">
        <v>4.2735042735042736E-2</v>
      </c>
      <c r="H58" s="46">
        <v>9.90990990990991E-2</v>
      </c>
      <c r="I58" s="46">
        <v>0.10869565217391304</v>
      </c>
      <c r="J58" s="46">
        <v>7.4698795180722893E-2</v>
      </c>
      <c r="K58" s="6"/>
      <c r="L58" s="15">
        <f t="shared" si="22"/>
        <v>0.70458404074702885</v>
      </c>
      <c r="M58" s="15">
        <f t="shared" si="23"/>
        <v>0.57209815274331399</v>
      </c>
      <c r="N58" s="15">
        <f t="shared" si="24"/>
        <v>1.3266492298750363</v>
      </c>
      <c r="O58" s="15">
        <f t="shared" si="25"/>
        <v>1.4551192145862553</v>
      </c>
      <c r="Q58" s="21"/>
    </row>
    <row r="59" spans="3:17" x14ac:dyDescent="0.25">
      <c r="C59" s="131"/>
      <c r="D59" s="25">
        <v>15</v>
      </c>
      <c r="E59" s="48" t="s">
        <v>262</v>
      </c>
      <c r="F59" s="46">
        <v>4.2105263157894736E-2</v>
      </c>
      <c r="G59" s="46">
        <v>6.8376068376068383E-2</v>
      </c>
      <c r="H59" s="46">
        <v>4.5045045045045043E-2</v>
      </c>
      <c r="I59" s="46">
        <v>3.2608695652173912E-2</v>
      </c>
      <c r="J59" s="46">
        <v>4.8192771084337352E-2</v>
      </c>
      <c r="K59" s="6"/>
      <c r="L59" s="15">
        <f t="shared" si="22"/>
        <v>0.87368421052631573</v>
      </c>
      <c r="M59" s="15">
        <f t="shared" si="23"/>
        <v>1.4188034188034189</v>
      </c>
      <c r="N59" s="15">
        <f t="shared" si="24"/>
        <v>0.93468468468468457</v>
      </c>
      <c r="O59" s="15">
        <f t="shared" si="25"/>
        <v>0.67663043478260865</v>
      </c>
      <c r="Q59" s="21"/>
    </row>
    <row r="60" spans="3:17" x14ac:dyDescent="0.25">
      <c r="C60" s="131"/>
      <c r="D60" s="38">
        <v>16</v>
      </c>
      <c r="E60" s="48" t="s">
        <v>263</v>
      </c>
      <c r="F60" s="46">
        <v>9.4736842105263161E-2</v>
      </c>
      <c r="G60" s="46">
        <v>7.6923076923076927E-2</v>
      </c>
      <c r="H60" s="46">
        <v>6.3063063063063057E-2</v>
      </c>
      <c r="I60" s="46">
        <v>0.14130434782608695</v>
      </c>
      <c r="J60" s="46">
        <v>9.1566265060240959E-2</v>
      </c>
      <c r="K60" s="6"/>
      <c r="L60" s="15">
        <f t="shared" si="22"/>
        <v>1.0346260387811634</v>
      </c>
      <c r="M60" s="15">
        <f t="shared" si="23"/>
        <v>0.84008097165991913</v>
      </c>
      <c r="N60" s="15">
        <f t="shared" si="24"/>
        <v>0.68871503082029395</v>
      </c>
      <c r="O60" s="15">
        <f t="shared" si="25"/>
        <v>1.5431922196796339</v>
      </c>
      <c r="Q60" s="21"/>
    </row>
    <row r="61" spans="3:17" x14ac:dyDescent="0.25">
      <c r="C61" s="131"/>
      <c r="D61" s="25">
        <v>17</v>
      </c>
      <c r="E61" s="48" t="s">
        <v>264</v>
      </c>
      <c r="F61" s="46">
        <v>5.2631578947368418E-2</v>
      </c>
      <c r="G61" s="46">
        <v>5.128205128205128E-2</v>
      </c>
      <c r="H61" s="46">
        <v>2.7027027027027029E-2</v>
      </c>
      <c r="I61" s="46">
        <v>2.1739130434782608E-2</v>
      </c>
      <c r="J61" s="46">
        <v>3.8554216867469883E-2</v>
      </c>
      <c r="K61" s="6"/>
      <c r="L61" s="15">
        <f t="shared" si="22"/>
        <v>1.3651315789473681</v>
      </c>
      <c r="M61" s="15">
        <f t="shared" si="23"/>
        <v>1.3301282051282051</v>
      </c>
      <c r="N61" s="15">
        <f t="shared" si="24"/>
        <v>0.70101351351351349</v>
      </c>
      <c r="O61" s="15">
        <f t="shared" si="25"/>
        <v>0.56385869565217384</v>
      </c>
      <c r="Q61" s="21"/>
    </row>
    <row r="62" spans="3:17" x14ac:dyDescent="0.25">
      <c r="C62" s="131"/>
      <c r="D62" s="38">
        <v>18</v>
      </c>
      <c r="E62" s="48" t="s">
        <v>265</v>
      </c>
      <c r="F62" s="46">
        <v>2.1052631578947368E-2</v>
      </c>
      <c r="G62" s="46">
        <v>1.7094017094017096E-2</v>
      </c>
      <c r="H62" s="46">
        <v>8.1081081081081086E-2</v>
      </c>
      <c r="I62" s="46">
        <v>4.3478260869565216E-2</v>
      </c>
      <c r="J62" s="46">
        <v>4.0963855421686748E-2</v>
      </c>
      <c r="K62" s="6"/>
      <c r="L62" s="15">
        <f t="shared" si="22"/>
        <v>0.51393188854489158</v>
      </c>
      <c r="M62" s="15">
        <f t="shared" si="23"/>
        <v>0.41729512317747613</v>
      </c>
      <c r="N62" s="15">
        <f t="shared" si="24"/>
        <v>1.9793322734499206</v>
      </c>
      <c r="O62" s="15">
        <f t="shared" si="25"/>
        <v>1.0613810741687979</v>
      </c>
      <c r="Q62" s="21"/>
    </row>
    <row r="63" spans="3:17" x14ac:dyDescent="0.25">
      <c r="C63" s="131"/>
      <c r="D63" s="25">
        <v>19</v>
      </c>
      <c r="E63" s="48" t="s">
        <v>266</v>
      </c>
      <c r="F63" s="46">
        <v>2.1052631578947368E-2</v>
      </c>
      <c r="G63" s="46">
        <v>6.8376068376068383E-2</v>
      </c>
      <c r="H63" s="46">
        <v>0.11711711711711711</v>
      </c>
      <c r="I63" s="46">
        <v>4.3478260869565216E-2</v>
      </c>
      <c r="J63" s="46">
        <v>6.5060240963855417E-2</v>
      </c>
      <c r="K63" s="6"/>
      <c r="L63" s="15">
        <f t="shared" si="22"/>
        <v>0.32358674463937626</v>
      </c>
      <c r="M63" s="15">
        <f t="shared" si="23"/>
        <v>1.0509654954099401</v>
      </c>
      <c r="N63" s="15">
        <f t="shared" si="24"/>
        <v>1.8001334668001336</v>
      </c>
      <c r="O63" s="15">
        <f t="shared" si="25"/>
        <v>0.66827697262479868</v>
      </c>
      <c r="Q63" s="21"/>
    </row>
    <row r="64" spans="3:17" x14ac:dyDescent="0.25">
      <c r="C64" s="132"/>
      <c r="D64" s="38">
        <v>20</v>
      </c>
      <c r="E64" s="48" t="s">
        <v>267</v>
      </c>
      <c r="F64" s="46">
        <v>4.2105263157894736E-2</v>
      </c>
      <c r="G64" s="46">
        <v>0.11965811965811966</v>
      </c>
      <c r="H64" s="46">
        <v>7.2072072072072071E-2</v>
      </c>
      <c r="I64" s="46">
        <v>4.3478260869565216E-2</v>
      </c>
      <c r="J64" s="46">
        <v>7.2289156626506021E-2</v>
      </c>
      <c r="K64" s="6"/>
      <c r="L64" s="15">
        <f t="shared" si="22"/>
        <v>0.58245614035087723</v>
      </c>
      <c r="M64" s="15">
        <f t="shared" si="23"/>
        <v>1.6552706552706553</v>
      </c>
      <c r="N64" s="15">
        <f>H64/$J64</f>
        <v>0.99699699699699706</v>
      </c>
      <c r="O64" s="15">
        <f t="shared" si="25"/>
        <v>0.60144927536231885</v>
      </c>
      <c r="Q64" s="21"/>
    </row>
    <row r="65" spans="3:22" x14ac:dyDescent="0.25">
      <c r="C65" s="47"/>
      <c r="D65" s="38"/>
      <c r="E65" s="50"/>
      <c r="F65" s="51"/>
      <c r="G65" s="51"/>
      <c r="H65" s="51"/>
      <c r="I65" s="51"/>
      <c r="J65" s="51"/>
      <c r="K65" s="6"/>
      <c r="L65" s="16"/>
      <c r="M65" s="16"/>
      <c r="N65" s="16"/>
      <c r="O65" s="16"/>
      <c r="Q65" s="21"/>
    </row>
    <row r="66" spans="3:22" x14ac:dyDescent="0.25">
      <c r="C66" s="25"/>
      <c r="D66" s="25"/>
      <c r="E66" s="13"/>
      <c r="F66" s="28">
        <v>1</v>
      </c>
      <c r="G66" s="28">
        <v>2</v>
      </c>
      <c r="H66" s="28">
        <v>3</v>
      </c>
      <c r="I66" s="28">
        <v>4</v>
      </c>
      <c r="J66" s="29" t="s">
        <v>136</v>
      </c>
      <c r="K66" s="6"/>
      <c r="L66" s="16"/>
      <c r="M66" s="16"/>
      <c r="N66" s="16"/>
      <c r="O66" s="16"/>
    </row>
    <row r="67" spans="3:22" x14ac:dyDescent="0.25">
      <c r="C67" s="134" t="s">
        <v>364</v>
      </c>
      <c r="D67" s="42">
        <v>1</v>
      </c>
      <c r="E67" s="49" t="s">
        <v>72</v>
      </c>
      <c r="F67" s="46">
        <v>0.14736842105263157</v>
      </c>
      <c r="G67" s="46">
        <v>9.4017094017094016E-2</v>
      </c>
      <c r="H67" s="46">
        <v>0.11711711711711711</v>
      </c>
      <c r="I67" s="46">
        <v>0.14130434782608695</v>
      </c>
      <c r="J67" s="46">
        <v>0.12289156626506025</v>
      </c>
      <c r="K67" s="6"/>
      <c r="L67" s="15">
        <f t="shared" ref="L67:L76" si="26">F67/$J67</f>
        <v>1.1991744066047469</v>
      </c>
      <c r="M67" s="15">
        <f t="shared" ref="M67:O76" si="27">G67/$J67</f>
        <v>0.76504105915870624</v>
      </c>
      <c r="N67" s="15">
        <f t="shared" si="27"/>
        <v>0.95301183536477652</v>
      </c>
      <c r="O67" s="15">
        <f t="shared" si="27"/>
        <v>1.1498294970161977</v>
      </c>
    </row>
    <row r="68" spans="3:22" x14ac:dyDescent="0.25">
      <c r="C68" s="135"/>
      <c r="D68" s="42">
        <v>2</v>
      </c>
      <c r="E68" s="49" t="s">
        <v>73</v>
      </c>
      <c r="F68" s="46">
        <v>0.43157894736842106</v>
      </c>
      <c r="G68" s="46">
        <v>0.31623931623931623</v>
      </c>
      <c r="H68" s="46">
        <v>0.22522522522522523</v>
      </c>
      <c r="I68" s="46">
        <v>0.35869565217391303</v>
      </c>
      <c r="J68" s="46">
        <v>0.32771084337349399</v>
      </c>
      <c r="K68" s="6"/>
      <c r="L68" s="15">
        <f t="shared" si="26"/>
        <v>1.3169504643962848</v>
      </c>
      <c r="M68" s="15">
        <f t="shared" si="27"/>
        <v>0.96499497234791343</v>
      </c>
      <c r="N68" s="15">
        <f t="shared" si="27"/>
        <v>0.68726815050344459</v>
      </c>
      <c r="O68" s="15">
        <f t="shared" si="27"/>
        <v>1.0945492327365729</v>
      </c>
    </row>
    <row r="69" spans="3:22" x14ac:dyDescent="0.25">
      <c r="C69" s="135"/>
      <c r="D69" s="42">
        <v>3</v>
      </c>
      <c r="E69" s="49" t="s">
        <v>74</v>
      </c>
      <c r="F69" s="46">
        <v>0.14736842105263157</v>
      </c>
      <c r="G69" s="46">
        <v>0.13675213675213677</v>
      </c>
      <c r="H69" s="46">
        <v>0.1891891891891892</v>
      </c>
      <c r="I69" s="46">
        <v>0.15217391304347827</v>
      </c>
      <c r="J69" s="46">
        <v>0.15662650602409639</v>
      </c>
      <c r="K69" s="6"/>
      <c r="L69" s="15">
        <f t="shared" si="26"/>
        <v>0.94089068825910915</v>
      </c>
      <c r="M69" s="15">
        <f t="shared" si="27"/>
        <v>0.87310979618671936</v>
      </c>
      <c r="N69" s="15">
        <f t="shared" si="27"/>
        <v>1.2079002079002079</v>
      </c>
      <c r="O69" s="15">
        <f t="shared" si="27"/>
        <v>0.97157190635451507</v>
      </c>
    </row>
    <row r="70" spans="3:22" x14ac:dyDescent="0.25">
      <c r="C70" s="135"/>
      <c r="D70" s="42">
        <v>4</v>
      </c>
      <c r="E70" s="49" t="s">
        <v>75</v>
      </c>
      <c r="F70" s="46">
        <v>0.1368421052631579</v>
      </c>
      <c r="G70" s="46">
        <v>0.17948717948717949</v>
      </c>
      <c r="H70" s="46">
        <v>9.90990990990991E-2</v>
      </c>
      <c r="I70" s="46">
        <v>9.7826086956521743E-2</v>
      </c>
      <c r="J70" s="46">
        <v>0.13012048192771083</v>
      </c>
      <c r="K70" s="6"/>
      <c r="L70" s="15">
        <f t="shared" si="26"/>
        <v>1.0516569200779728</v>
      </c>
      <c r="M70" s="15">
        <f t="shared" si="27"/>
        <v>1.3793922127255462</v>
      </c>
      <c r="N70" s="15">
        <f t="shared" si="27"/>
        <v>0.76159492826159503</v>
      </c>
      <c r="O70" s="15">
        <f t="shared" si="27"/>
        <v>0.75181159420289867</v>
      </c>
    </row>
    <row r="71" spans="3:22" x14ac:dyDescent="0.25">
      <c r="C71" s="135"/>
      <c r="D71" s="42">
        <v>5</v>
      </c>
      <c r="E71" s="49" t="s">
        <v>76</v>
      </c>
      <c r="F71" s="46">
        <v>2.1052631578947368E-2</v>
      </c>
      <c r="G71" s="46">
        <v>3.4188034188034191E-2</v>
      </c>
      <c r="H71" s="46">
        <v>2.7027027027027029E-2</v>
      </c>
      <c r="I71" s="46">
        <v>6.5217391304347824E-2</v>
      </c>
      <c r="J71" s="46">
        <v>3.614457831325301E-2</v>
      </c>
      <c r="K71" s="6"/>
      <c r="L71" s="15">
        <f t="shared" si="26"/>
        <v>0.58245614035087723</v>
      </c>
      <c r="M71" s="15">
        <f t="shared" si="27"/>
        <v>0.94586894586894599</v>
      </c>
      <c r="N71" s="15">
        <f t="shared" si="27"/>
        <v>0.74774774774774777</v>
      </c>
      <c r="O71" s="15">
        <f t="shared" si="27"/>
        <v>1.8043478260869565</v>
      </c>
    </row>
    <row r="72" spans="3:22" x14ac:dyDescent="0.25">
      <c r="C72" s="135"/>
      <c r="D72" s="42">
        <v>6</v>
      </c>
      <c r="E72" s="49" t="s">
        <v>77</v>
      </c>
      <c r="F72" s="46">
        <v>5.2631578947368418E-2</v>
      </c>
      <c r="G72" s="46">
        <v>5.9829059829059832E-2</v>
      </c>
      <c r="H72" s="46">
        <v>0.12612612612612611</v>
      </c>
      <c r="I72" s="46">
        <v>4.3478260869565216E-2</v>
      </c>
      <c r="J72" s="46">
        <v>7.2289156626506021E-2</v>
      </c>
      <c r="K72" s="6"/>
      <c r="L72" s="15">
        <f t="shared" si="26"/>
        <v>0.72807017543859653</v>
      </c>
      <c r="M72" s="15">
        <f t="shared" si="27"/>
        <v>0.82763532763532766</v>
      </c>
      <c r="N72" s="15">
        <f t="shared" si="27"/>
        <v>1.7447447447447446</v>
      </c>
      <c r="O72" s="15">
        <f t="shared" si="27"/>
        <v>0.60144927536231885</v>
      </c>
    </row>
    <row r="73" spans="3:22" x14ac:dyDescent="0.25">
      <c r="C73" s="135"/>
      <c r="D73" s="42">
        <v>7</v>
      </c>
      <c r="E73" s="49" t="s">
        <v>78</v>
      </c>
      <c r="F73" s="46">
        <v>3.1578947368421054E-2</v>
      </c>
      <c r="G73" s="46">
        <v>4.2735042735042736E-2</v>
      </c>
      <c r="H73" s="46">
        <v>0.11711711711711711</v>
      </c>
      <c r="I73" s="46">
        <v>4.3478260869565216E-2</v>
      </c>
      <c r="J73" s="46">
        <v>6.0240963855421686E-2</v>
      </c>
      <c r="K73" s="6"/>
      <c r="L73" s="15">
        <f t="shared" si="26"/>
        <v>0.52421052631578946</v>
      </c>
      <c r="M73" s="15">
        <f t="shared" si="27"/>
        <v>0.70940170940170943</v>
      </c>
      <c r="N73" s="15">
        <f t="shared" si="27"/>
        <v>1.944144144144144</v>
      </c>
      <c r="O73" s="15">
        <f t="shared" si="27"/>
        <v>0.72173913043478255</v>
      </c>
    </row>
    <row r="74" spans="3:22" x14ac:dyDescent="0.25">
      <c r="C74" s="135"/>
      <c r="D74" s="42">
        <v>8</v>
      </c>
      <c r="E74" s="49" t="s">
        <v>79</v>
      </c>
      <c r="F74" s="46">
        <v>2.1052631578947368E-2</v>
      </c>
      <c r="G74" s="46">
        <v>2.564102564102564E-2</v>
      </c>
      <c r="H74" s="46">
        <v>4.5045045045045043E-2</v>
      </c>
      <c r="I74" s="46">
        <v>4.3478260869565216E-2</v>
      </c>
      <c r="J74" s="46">
        <v>3.3734939759036145E-2</v>
      </c>
      <c r="K74" s="6"/>
      <c r="L74" s="15">
        <f t="shared" si="26"/>
        <v>0.62406015037593987</v>
      </c>
      <c r="M74" s="15">
        <f t="shared" si="27"/>
        <v>0.76007326007326004</v>
      </c>
      <c r="N74" s="15">
        <f t="shared" si="27"/>
        <v>1.3352638352638353</v>
      </c>
      <c r="O74" s="15">
        <f t="shared" si="27"/>
        <v>1.2888198757763976</v>
      </c>
    </row>
    <row r="75" spans="3:22" x14ac:dyDescent="0.25">
      <c r="C75" s="135"/>
      <c r="D75" s="42">
        <v>9</v>
      </c>
      <c r="E75" s="49" t="s">
        <v>80</v>
      </c>
      <c r="F75" s="46">
        <v>1.0526315789473684E-2</v>
      </c>
      <c r="G75" s="46">
        <v>0.1111111111111111</v>
      </c>
      <c r="H75" s="46">
        <v>5.4054054054054057E-2</v>
      </c>
      <c r="I75" s="46">
        <v>5.434782608695652E-2</v>
      </c>
      <c r="J75" s="46">
        <v>6.0240963855421686E-2</v>
      </c>
      <c r="K75" s="6"/>
      <c r="L75" s="15">
        <f t="shared" si="26"/>
        <v>0.17473684210526316</v>
      </c>
      <c r="M75" s="15">
        <f t="shared" si="27"/>
        <v>1.8444444444444443</v>
      </c>
      <c r="N75" s="15">
        <f t="shared" si="27"/>
        <v>0.89729729729729735</v>
      </c>
      <c r="O75" s="15">
        <f t="shared" si="27"/>
        <v>0.90217391304347827</v>
      </c>
    </row>
    <row r="76" spans="3:22" x14ac:dyDescent="0.25">
      <c r="C76" s="136"/>
      <c r="D76" s="42"/>
      <c r="E76" s="43" t="s">
        <v>137</v>
      </c>
      <c r="F76" s="44">
        <f>SUM(F67:F75)</f>
        <v>1</v>
      </c>
      <c r="G76" s="44">
        <f t="shared" ref="G76:J76" si="28">SUM(G67:G75)</f>
        <v>1</v>
      </c>
      <c r="H76" s="44">
        <f t="shared" si="28"/>
        <v>1</v>
      </c>
      <c r="I76" s="44">
        <f t="shared" si="28"/>
        <v>0.99999999999999989</v>
      </c>
      <c r="J76" s="44">
        <f t="shared" si="28"/>
        <v>1.0000000000000002</v>
      </c>
      <c r="K76" s="6"/>
      <c r="L76" s="15">
        <f t="shared" si="26"/>
        <v>0.99999999999999978</v>
      </c>
      <c r="M76" s="15">
        <f t="shared" si="27"/>
        <v>0.99999999999999978</v>
      </c>
      <c r="N76" s="15">
        <f t="shared" si="27"/>
        <v>0.99999999999999978</v>
      </c>
      <c r="O76" s="15">
        <f t="shared" si="27"/>
        <v>0.99999999999999967</v>
      </c>
    </row>
    <row r="77" spans="3:22" x14ac:dyDescent="0.25">
      <c r="C77" s="25"/>
      <c r="D77" s="25"/>
      <c r="E77" s="13"/>
      <c r="F77" s="33"/>
      <c r="G77" s="33"/>
      <c r="H77" s="33"/>
      <c r="I77" s="33"/>
      <c r="J77" s="33"/>
      <c r="K77" s="6"/>
      <c r="L77" s="16"/>
      <c r="M77" s="16"/>
      <c r="N77" s="16"/>
      <c r="O77" s="16"/>
    </row>
    <row r="78" spans="3:22" x14ac:dyDescent="0.25">
      <c r="F78" s="28">
        <v>1</v>
      </c>
      <c r="G78" s="28">
        <v>2</v>
      </c>
      <c r="H78" s="28">
        <v>3</v>
      </c>
      <c r="I78" s="28">
        <v>4</v>
      </c>
      <c r="J78" s="29" t="s">
        <v>136</v>
      </c>
      <c r="K78" s="6"/>
      <c r="V78" s="19"/>
    </row>
    <row r="79" spans="3:22" x14ac:dyDescent="0.25">
      <c r="C79" s="130" t="s">
        <v>366</v>
      </c>
      <c r="D79" s="38">
        <v>1</v>
      </c>
      <c r="E79" s="20" t="s">
        <v>268</v>
      </c>
      <c r="F79" s="46">
        <v>0.42105263157894735</v>
      </c>
      <c r="G79" s="46">
        <v>0.42735042735042733</v>
      </c>
      <c r="H79" s="46">
        <v>0.47747747747747749</v>
      </c>
      <c r="I79" s="46">
        <v>0.40217391304347827</v>
      </c>
      <c r="J79" s="46">
        <v>0.43373493975903615</v>
      </c>
      <c r="K79" s="6"/>
      <c r="L79" s="15">
        <f>F79/$J79</f>
        <v>0.9707602339181286</v>
      </c>
      <c r="M79" s="15">
        <f t="shared" ref="M79:M80" si="29">G79/$J79</f>
        <v>0.98528015194681851</v>
      </c>
      <c r="N79" s="15">
        <f t="shared" ref="N79:N80" si="30">H79/$J79</f>
        <v>1.1008508508508508</v>
      </c>
      <c r="O79" s="15">
        <f t="shared" ref="O79:O80" si="31">I79/$J79</f>
        <v>0.92723429951690817</v>
      </c>
    </row>
    <row r="80" spans="3:22" x14ac:dyDescent="0.25">
      <c r="C80" s="131"/>
      <c r="D80" s="38">
        <v>2</v>
      </c>
      <c r="E80" s="20" t="s">
        <v>269</v>
      </c>
      <c r="F80" s="46">
        <v>0.18947368421052632</v>
      </c>
      <c r="G80" s="46">
        <v>0.20512820512820512</v>
      </c>
      <c r="H80" s="46">
        <v>0.24324324324324326</v>
      </c>
      <c r="I80" s="46">
        <v>0.21739130434782608</v>
      </c>
      <c r="J80" s="46">
        <v>0.21445783132530122</v>
      </c>
      <c r="K80" s="6"/>
      <c r="L80" s="15">
        <f t="shared" ref="L80:L81" si="32">F80/$J80</f>
        <v>0.88350088704908336</v>
      </c>
      <c r="M80" s="15">
        <f t="shared" si="29"/>
        <v>0.95649668683376543</v>
      </c>
      <c r="N80" s="15">
        <f t="shared" si="30"/>
        <v>1.1342241117522016</v>
      </c>
      <c r="O80" s="15">
        <f t="shared" si="31"/>
        <v>1.0136785539814361</v>
      </c>
    </row>
    <row r="81" spans="3:15" x14ac:dyDescent="0.25">
      <c r="C81" s="131"/>
      <c r="D81" s="38">
        <v>3</v>
      </c>
      <c r="E81" s="20" t="s">
        <v>270</v>
      </c>
      <c r="F81" s="46">
        <v>0.14736842105263157</v>
      </c>
      <c r="G81" s="46">
        <v>0.23076923076923078</v>
      </c>
      <c r="H81" s="46">
        <v>0.25225225225225223</v>
      </c>
      <c r="I81" s="46">
        <v>0.20652173913043478</v>
      </c>
      <c r="J81" s="46">
        <v>0.21204819277108433</v>
      </c>
      <c r="K81" s="6"/>
      <c r="L81" s="15">
        <f t="shared" si="32"/>
        <v>0.69497607655502391</v>
      </c>
      <c r="M81" s="15">
        <f t="shared" ref="M81:M96" si="33">G81/$J81</f>
        <v>1.0882867132867133</v>
      </c>
      <c r="N81" s="15">
        <f t="shared" ref="N81:N96" si="34">H81/$J81</f>
        <v>1.1895986895986894</v>
      </c>
      <c r="O81" s="15">
        <f t="shared" ref="O81:O96" si="35">I81/$J81</f>
        <v>0.97393774703557312</v>
      </c>
    </row>
    <row r="82" spans="3:15" x14ac:dyDescent="0.25">
      <c r="C82" s="131"/>
      <c r="D82" s="38">
        <v>4</v>
      </c>
      <c r="E82" s="20" t="s">
        <v>271</v>
      </c>
      <c r="F82" s="46">
        <v>0.25263157894736843</v>
      </c>
      <c r="G82" s="46">
        <v>0.15384615384615385</v>
      </c>
      <c r="H82" s="46">
        <v>9.0090090090090086E-2</v>
      </c>
      <c r="I82" s="46">
        <v>0.21739130434782608</v>
      </c>
      <c r="J82" s="46">
        <v>0.17349397590361446</v>
      </c>
      <c r="K82" s="6"/>
      <c r="L82" s="15">
        <f t="shared" ref="L82:L96" si="36">F82/$J82</f>
        <v>1.4561403508771931</v>
      </c>
      <c r="M82" s="15">
        <f t="shared" si="33"/>
        <v>0.88675213675213682</v>
      </c>
      <c r="N82" s="15">
        <f t="shared" si="34"/>
        <v>0.5192692692692692</v>
      </c>
      <c r="O82" s="15">
        <f t="shared" si="35"/>
        <v>1.2530193236714975</v>
      </c>
    </row>
    <row r="83" spans="3:15" x14ac:dyDescent="0.25">
      <c r="C83" s="131"/>
      <c r="D83" s="38">
        <v>5</v>
      </c>
      <c r="E83" s="20" t="s">
        <v>272</v>
      </c>
      <c r="F83" s="46">
        <v>0.45263157894736844</v>
      </c>
      <c r="G83" s="46">
        <v>0.36752136752136755</v>
      </c>
      <c r="H83" s="46">
        <v>0.32432432432432434</v>
      </c>
      <c r="I83" s="46">
        <v>0.32608695652173914</v>
      </c>
      <c r="J83" s="46">
        <v>0.36626506024096384</v>
      </c>
      <c r="K83" s="6"/>
      <c r="L83" s="15">
        <f t="shared" si="36"/>
        <v>1.235803324099723</v>
      </c>
      <c r="M83" s="15">
        <f t="shared" si="33"/>
        <v>1.0034300494826811</v>
      </c>
      <c r="N83" s="15">
        <f t="shared" si="34"/>
        <v>0.88549075391180665</v>
      </c>
      <c r="O83" s="15">
        <f t="shared" si="35"/>
        <v>0.89030320366132731</v>
      </c>
    </row>
    <row r="84" spans="3:15" x14ac:dyDescent="0.25">
      <c r="C84" s="131"/>
      <c r="D84" s="38">
        <v>6</v>
      </c>
      <c r="E84" s="20" t="s">
        <v>273</v>
      </c>
      <c r="F84" s="46">
        <v>2.1052631578947368E-2</v>
      </c>
      <c r="G84" s="46">
        <v>8.5470085470085479E-3</v>
      </c>
      <c r="H84" s="46">
        <v>0</v>
      </c>
      <c r="I84" s="46">
        <v>3.2608695652173912E-2</v>
      </c>
      <c r="J84" s="46">
        <v>1.4457831325301205E-2</v>
      </c>
      <c r="K84" s="6"/>
      <c r="L84" s="15">
        <f t="shared" si="36"/>
        <v>1.4561403508771928</v>
      </c>
      <c r="M84" s="15">
        <f t="shared" si="33"/>
        <v>0.59116809116809121</v>
      </c>
      <c r="N84" s="15">
        <f t="shared" si="34"/>
        <v>0</v>
      </c>
      <c r="O84" s="15">
        <f t="shared" si="35"/>
        <v>2.2554347826086953</v>
      </c>
    </row>
    <row r="85" spans="3:15" x14ac:dyDescent="0.25">
      <c r="C85" s="131"/>
      <c r="D85" s="38">
        <v>7</v>
      </c>
      <c r="E85" s="20" t="s">
        <v>274</v>
      </c>
      <c r="F85" s="46">
        <v>0.23157894736842105</v>
      </c>
      <c r="G85" s="46">
        <v>0.28205128205128205</v>
      </c>
      <c r="H85" s="46">
        <v>0.25225225225225223</v>
      </c>
      <c r="I85" s="46">
        <v>0.27173913043478259</v>
      </c>
      <c r="J85" s="46">
        <v>0.26024096385542167</v>
      </c>
      <c r="K85" s="6"/>
      <c r="L85" s="15">
        <f t="shared" si="36"/>
        <v>0.88986354775828469</v>
      </c>
      <c r="M85" s="15">
        <f t="shared" si="33"/>
        <v>1.0838081671415005</v>
      </c>
      <c r="N85" s="15">
        <f t="shared" si="34"/>
        <v>0.96930263596930266</v>
      </c>
      <c r="O85" s="15">
        <f t="shared" si="35"/>
        <v>1.044182769726248</v>
      </c>
    </row>
    <row r="86" spans="3:15" x14ac:dyDescent="0.25">
      <c r="C86" s="131"/>
      <c r="D86" s="38">
        <v>8</v>
      </c>
      <c r="E86" s="20" t="s">
        <v>275</v>
      </c>
      <c r="F86" s="46">
        <v>0.16842105263157894</v>
      </c>
      <c r="G86" s="46">
        <v>0.24786324786324787</v>
      </c>
      <c r="H86" s="46">
        <v>0.1981981981981982</v>
      </c>
      <c r="I86" s="46">
        <v>0.21739130434782608</v>
      </c>
      <c r="J86" s="46">
        <v>0.20963855421686747</v>
      </c>
      <c r="K86" s="6"/>
      <c r="L86" s="15">
        <f t="shared" si="36"/>
        <v>0.80338777979431331</v>
      </c>
      <c r="M86" s="15">
        <f t="shared" si="33"/>
        <v>1.1823361823361824</v>
      </c>
      <c r="N86" s="15">
        <f t="shared" si="34"/>
        <v>0.94542818680749718</v>
      </c>
      <c r="O86" s="15">
        <f t="shared" si="35"/>
        <v>1.0369815092453774</v>
      </c>
    </row>
    <row r="87" spans="3:15" x14ac:dyDescent="0.25">
      <c r="C87" s="131"/>
      <c r="D87" s="38">
        <v>9</v>
      </c>
      <c r="E87" s="20" t="s">
        <v>276</v>
      </c>
      <c r="F87" s="46">
        <v>1.0526315789473684E-2</v>
      </c>
      <c r="G87" s="46">
        <v>3.4188034188034191E-2</v>
      </c>
      <c r="H87" s="46">
        <v>4.5045045045045043E-2</v>
      </c>
      <c r="I87" s="46">
        <v>5.434782608695652E-2</v>
      </c>
      <c r="J87" s="46">
        <v>3.614457831325301E-2</v>
      </c>
      <c r="K87" s="6"/>
      <c r="L87" s="15">
        <f t="shared" si="36"/>
        <v>0.29122807017543861</v>
      </c>
      <c r="M87" s="15">
        <f t="shared" si="33"/>
        <v>0.94586894586894599</v>
      </c>
      <c r="N87" s="15">
        <f t="shared" si="34"/>
        <v>1.2462462462462462</v>
      </c>
      <c r="O87" s="15">
        <f t="shared" si="35"/>
        <v>1.5036231884057971</v>
      </c>
    </row>
    <row r="88" spans="3:15" x14ac:dyDescent="0.25">
      <c r="C88" s="131"/>
      <c r="D88" s="38">
        <v>10</v>
      </c>
      <c r="E88" s="20" t="s">
        <v>277</v>
      </c>
      <c r="F88" s="46">
        <v>0.10526315789473684</v>
      </c>
      <c r="G88" s="46">
        <v>0.15384615384615385</v>
      </c>
      <c r="H88" s="46">
        <v>0.16216216216216217</v>
      </c>
      <c r="I88" s="46">
        <v>0.11956521739130435</v>
      </c>
      <c r="J88" s="46">
        <v>0.13734939759036144</v>
      </c>
      <c r="K88" s="6"/>
      <c r="L88" s="15">
        <f t="shared" si="36"/>
        <v>0.76638965835641737</v>
      </c>
      <c r="M88" s="15">
        <f t="shared" si="33"/>
        <v>1.1201079622132255</v>
      </c>
      <c r="N88" s="15">
        <f t="shared" si="34"/>
        <v>1.1806543385490755</v>
      </c>
      <c r="O88" s="15">
        <f t="shared" si="35"/>
        <v>0.8705186880244089</v>
      </c>
    </row>
    <row r="89" spans="3:15" x14ac:dyDescent="0.25">
      <c r="C89" s="131"/>
      <c r="D89" s="38">
        <v>11</v>
      </c>
      <c r="E89" s="20" t="s">
        <v>278</v>
      </c>
      <c r="F89" s="46">
        <v>0.30526315789473685</v>
      </c>
      <c r="G89" s="46">
        <v>0.31623931623931623</v>
      </c>
      <c r="H89" s="46">
        <v>0.34234234234234234</v>
      </c>
      <c r="I89" s="46">
        <v>0.31521739130434784</v>
      </c>
      <c r="J89" s="46">
        <v>0.32048192771084338</v>
      </c>
      <c r="K89" s="6"/>
      <c r="L89" s="15">
        <f t="shared" si="36"/>
        <v>0.95251286110011868</v>
      </c>
      <c r="M89" s="15">
        <f t="shared" si="33"/>
        <v>0.98676177623546035</v>
      </c>
      <c r="N89" s="15">
        <f t="shared" si="34"/>
        <v>1.0682110682110681</v>
      </c>
      <c r="O89" s="15">
        <f t="shared" si="35"/>
        <v>0.98357306309251391</v>
      </c>
    </row>
    <row r="90" spans="3:15" x14ac:dyDescent="0.25">
      <c r="C90" s="131"/>
      <c r="D90" s="38">
        <v>12</v>
      </c>
      <c r="E90" s="20" t="s">
        <v>279</v>
      </c>
      <c r="F90" s="46">
        <v>0.22105263157894736</v>
      </c>
      <c r="G90" s="46">
        <v>0.17948717948717949</v>
      </c>
      <c r="H90" s="46">
        <v>0.1981981981981982</v>
      </c>
      <c r="I90" s="46">
        <v>0.15217391304347827</v>
      </c>
      <c r="J90" s="46">
        <v>0.18795180722891566</v>
      </c>
      <c r="K90" s="6"/>
      <c r="L90" s="15">
        <f t="shared" si="36"/>
        <v>1.1761133603238867</v>
      </c>
      <c r="M90" s="15">
        <f t="shared" si="33"/>
        <v>0.95496383957922415</v>
      </c>
      <c r="N90" s="15">
        <f t="shared" si="34"/>
        <v>1.0545160545160546</v>
      </c>
      <c r="O90" s="15">
        <f t="shared" si="35"/>
        <v>0.80964325529542924</v>
      </c>
    </row>
    <row r="91" spans="3:15" x14ac:dyDescent="0.25">
      <c r="C91" s="131"/>
      <c r="D91" s="38">
        <v>13</v>
      </c>
      <c r="E91" s="20" t="s">
        <v>280</v>
      </c>
      <c r="F91" s="46">
        <v>2.1052631578947368E-2</v>
      </c>
      <c r="G91" s="46">
        <v>8.5470085470085479E-3</v>
      </c>
      <c r="H91" s="46">
        <v>0</v>
      </c>
      <c r="I91" s="46">
        <v>1.0869565217391304E-2</v>
      </c>
      <c r="J91" s="46">
        <v>9.6385542168674707E-3</v>
      </c>
      <c r="K91" s="6"/>
      <c r="L91" s="15">
        <f t="shared" si="36"/>
        <v>2.1842105263157894</v>
      </c>
      <c r="M91" s="15">
        <f t="shared" si="33"/>
        <v>0.88675213675213671</v>
      </c>
      <c r="N91" s="15">
        <f t="shared" si="34"/>
        <v>0</v>
      </c>
      <c r="O91" s="15">
        <f t="shared" si="35"/>
        <v>1.1277173913043477</v>
      </c>
    </row>
    <row r="92" spans="3:15" x14ac:dyDescent="0.25">
      <c r="C92" s="131"/>
      <c r="D92" s="38">
        <v>14</v>
      </c>
      <c r="E92" s="20" t="s">
        <v>281</v>
      </c>
      <c r="F92" s="46">
        <v>0.10526315789473684</v>
      </c>
      <c r="G92" s="46">
        <v>0.15384615384615385</v>
      </c>
      <c r="H92" s="46">
        <v>0.16216216216216217</v>
      </c>
      <c r="I92" s="46">
        <v>0.13043478260869565</v>
      </c>
      <c r="J92" s="46">
        <v>0.13975903614457832</v>
      </c>
      <c r="K92" s="6"/>
      <c r="L92" s="15">
        <f t="shared" si="36"/>
        <v>0.75317604355716872</v>
      </c>
      <c r="M92" s="15">
        <f t="shared" si="33"/>
        <v>1.1007957559681698</v>
      </c>
      <c r="N92" s="15">
        <f t="shared" si="34"/>
        <v>1.1602982292637465</v>
      </c>
      <c r="O92" s="15">
        <f t="shared" si="35"/>
        <v>0.93328335832083953</v>
      </c>
    </row>
    <row r="93" spans="3:15" x14ac:dyDescent="0.25">
      <c r="C93" s="131"/>
      <c r="D93" s="38">
        <v>15</v>
      </c>
      <c r="E93" s="20" t="s">
        <v>282</v>
      </c>
      <c r="F93" s="46">
        <v>0.14736842105263157</v>
      </c>
      <c r="G93" s="46">
        <v>8.5470085470085472E-2</v>
      </c>
      <c r="H93" s="46">
        <v>9.0090090090090086E-2</v>
      </c>
      <c r="I93" s="46">
        <v>8.6956521739130432E-2</v>
      </c>
      <c r="J93" s="46">
        <v>0.10120481927710843</v>
      </c>
      <c r="K93" s="6"/>
      <c r="L93" s="15">
        <f t="shared" si="36"/>
        <v>1.4561403508771928</v>
      </c>
      <c r="M93" s="15">
        <f t="shared" si="33"/>
        <v>0.84452584452584456</v>
      </c>
      <c r="N93" s="15">
        <f t="shared" si="34"/>
        <v>0.89017589017589016</v>
      </c>
      <c r="O93" s="15">
        <f t="shared" si="35"/>
        <v>0.85921325051759834</v>
      </c>
    </row>
    <row r="94" spans="3:15" x14ac:dyDescent="0.25">
      <c r="C94" s="131"/>
      <c r="D94" s="38">
        <v>16</v>
      </c>
      <c r="E94" s="20" t="s">
        <v>283</v>
      </c>
      <c r="F94" s="46">
        <v>4.2105263157894736E-2</v>
      </c>
      <c r="G94" s="46">
        <v>5.128205128205128E-2</v>
      </c>
      <c r="H94" s="46">
        <v>2.7027027027027029E-2</v>
      </c>
      <c r="I94" s="46">
        <v>2.1739130434782608E-2</v>
      </c>
      <c r="J94" s="46">
        <v>3.614457831325301E-2</v>
      </c>
      <c r="K94" s="6"/>
      <c r="L94" s="15">
        <f t="shared" si="36"/>
        <v>1.1649122807017545</v>
      </c>
      <c r="M94" s="15">
        <f t="shared" si="33"/>
        <v>1.4188034188034189</v>
      </c>
      <c r="N94" s="15">
        <f t="shared" si="34"/>
        <v>0.74774774774774777</v>
      </c>
      <c r="O94" s="15">
        <f t="shared" si="35"/>
        <v>0.60144927536231885</v>
      </c>
    </row>
    <row r="95" spans="3:15" x14ac:dyDescent="0.25">
      <c r="C95" s="131"/>
      <c r="D95" s="38">
        <v>17</v>
      </c>
      <c r="E95" s="20" t="s">
        <v>284</v>
      </c>
      <c r="F95" s="46">
        <v>6.3157894736842107E-2</v>
      </c>
      <c r="G95" s="46">
        <v>2.564102564102564E-2</v>
      </c>
      <c r="H95" s="46">
        <v>6.3063063063063057E-2</v>
      </c>
      <c r="I95" s="46">
        <v>8.6956521739130432E-2</v>
      </c>
      <c r="J95" s="46">
        <v>5.7831325301204821E-2</v>
      </c>
      <c r="K95" s="6"/>
      <c r="L95" s="15">
        <f t="shared" si="36"/>
        <v>1.0921052631578947</v>
      </c>
      <c r="M95" s="15">
        <f t="shared" si="33"/>
        <v>0.44337606837606836</v>
      </c>
      <c r="N95" s="15">
        <f t="shared" si="34"/>
        <v>1.0904654654654653</v>
      </c>
      <c r="O95" s="15">
        <f t="shared" si="35"/>
        <v>1.5036231884057971</v>
      </c>
    </row>
    <row r="96" spans="3:15" x14ac:dyDescent="0.25">
      <c r="C96" s="132"/>
      <c r="D96" s="38">
        <v>18</v>
      </c>
      <c r="E96" s="20" t="s">
        <v>285</v>
      </c>
      <c r="F96" s="46">
        <v>6.3157894736842107E-2</v>
      </c>
      <c r="G96" s="46">
        <v>5.128205128205128E-2</v>
      </c>
      <c r="H96" s="46">
        <v>4.5045045045045043E-2</v>
      </c>
      <c r="I96" s="46">
        <v>0.10869565217391304</v>
      </c>
      <c r="J96" s="46">
        <v>6.5060240963855417E-2</v>
      </c>
      <c r="K96" s="6"/>
      <c r="L96" s="15">
        <f t="shared" si="36"/>
        <v>0.97076023391812871</v>
      </c>
      <c r="M96" s="15">
        <f t="shared" si="33"/>
        <v>0.78822412155745492</v>
      </c>
      <c r="N96" s="15">
        <f t="shared" si="34"/>
        <v>0.69235902569235908</v>
      </c>
      <c r="O96" s="15">
        <f t="shared" si="35"/>
        <v>1.6706924315619969</v>
      </c>
    </row>
    <row r="97" spans="3:15" x14ac:dyDescent="0.25">
      <c r="C97" s="38"/>
      <c r="D97" s="38"/>
      <c r="F97" s="41"/>
      <c r="G97" s="41"/>
      <c r="H97" s="41"/>
      <c r="I97" s="41"/>
      <c r="J97" s="41"/>
      <c r="K97" s="6"/>
      <c r="L97" s="16"/>
      <c r="M97" s="16"/>
      <c r="N97" s="16"/>
      <c r="O97" s="16"/>
    </row>
    <row r="98" spans="3:15" x14ac:dyDescent="0.25">
      <c r="F98" s="27">
        <v>1</v>
      </c>
      <c r="G98" s="27">
        <v>2</v>
      </c>
      <c r="H98" s="27">
        <v>3</v>
      </c>
      <c r="I98" s="27">
        <v>4</v>
      </c>
      <c r="J98" s="40" t="s">
        <v>136</v>
      </c>
      <c r="K98" s="6"/>
    </row>
    <row r="99" spans="3:15" x14ac:dyDescent="0.25">
      <c r="C99" s="130" t="s">
        <v>367</v>
      </c>
      <c r="D99" s="38">
        <v>1</v>
      </c>
      <c r="E99" s="20" t="s">
        <v>286</v>
      </c>
      <c r="F99" s="46">
        <v>0.43157894736842106</v>
      </c>
      <c r="G99" s="46">
        <v>0.84615384615384615</v>
      </c>
      <c r="H99" s="46">
        <v>0.6216216216216216</v>
      </c>
      <c r="I99" s="46">
        <v>0.14130434782608695</v>
      </c>
      <c r="J99" s="46">
        <v>0.53493975903614455</v>
      </c>
      <c r="K99" s="6"/>
      <c r="L99" s="15">
        <f>F99/$J99</f>
        <v>0.80678046467520159</v>
      </c>
      <c r="M99" s="15">
        <f t="shared" ref="M99:M101" si="37">G99/$J99</f>
        <v>1.5817740817740817</v>
      </c>
      <c r="N99" s="15">
        <f t="shared" ref="N99:N101" si="38">H99/$J99</f>
        <v>1.1620404187971756</v>
      </c>
      <c r="O99" s="15">
        <f t="shared" ref="O99:O101" si="39">I99/$J99</f>
        <v>0.26415001958480216</v>
      </c>
    </row>
    <row r="100" spans="3:15" x14ac:dyDescent="0.25">
      <c r="C100" s="131"/>
      <c r="D100" s="38">
        <v>2</v>
      </c>
      <c r="E100" s="20" t="s">
        <v>287</v>
      </c>
      <c r="F100" s="46">
        <v>0.44210526315789472</v>
      </c>
      <c r="G100" s="46">
        <v>0.93162393162393164</v>
      </c>
      <c r="H100" s="46">
        <v>0.8288288288288288</v>
      </c>
      <c r="I100" s="46">
        <v>0.18478260869565216</v>
      </c>
      <c r="J100" s="46">
        <v>0.62650602409638556</v>
      </c>
      <c r="K100" s="6"/>
      <c r="L100" s="15">
        <f t="shared" ref="L100:L102" si="40">F100/$J100</f>
        <v>0.70566801619433195</v>
      </c>
      <c r="M100" s="15">
        <f t="shared" si="37"/>
        <v>1.4870151216305063</v>
      </c>
      <c r="N100" s="15">
        <f t="shared" si="38"/>
        <v>1.3229383229383229</v>
      </c>
      <c r="O100" s="15">
        <f t="shared" si="39"/>
        <v>0.29494147157190631</v>
      </c>
    </row>
    <row r="101" spans="3:15" x14ac:dyDescent="0.25">
      <c r="C101" s="131"/>
      <c r="D101" s="38">
        <v>3</v>
      </c>
      <c r="E101" s="20" t="s">
        <v>288</v>
      </c>
      <c r="F101" s="46">
        <v>0.44210526315789472</v>
      </c>
      <c r="G101" s="46">
        <v>0.93162393162393164</v>
      </c>
      <c r="H101" s="46">
        <v>0.7567567567567568</v>
      </c>
      <c r="I101" s="46">
        <v>7.6086956521739135E-2</v>
      </c>
      <c r="J101" s="46">
        <v>0.58313253012048194</v>
      </c>
      <c r="K101" s="6"/>
      <c r="L101" s="15">
        <f t="shared" si="40"/>
        <v>0.75815571987820785</v>
      </c>
      <c r="M101" s="15">
        <f t="shared" si="37"/>
        <v>1.5976195521650067</v>
      </c>
      <c r="N101" s="15">
        <f t="shared" si="38"/>
        <v>1.2977440250167522</v>
      </c>
      <c r="O101" s="15">
        <f t="shared" si="39"/>
        <v>0.1304796981674452</v>
      </c>
    </row>
    <row r="102" spans="3:15" x14ac:dyDescent="0.25">
      <c r="C102" s="131"/>
      <c r="D102" s="38">
        <v>4</v>
      </c>
      <c r="E102" s="20" t="s">
        <v>289</v>
      </c>
      <c r="F102" s="46">
        <v>0.2</v>
      </c>
      <c r="G102" s="46">
        <v>7.6923076923076927E-2</v>
      </c>
      <c r="H102" s="46">
        <v>0.12612612612612611</v>
      </c>
      <c r="I102" s="46">
        <v>0.31521739130434784</v>
      </c>
      <c r="J102" s="46">
        <v>0.1710843373493976</v>
      </c>
      <c r="K102" s="6"/>
      <c r="L102" s="15">
        <f t="shared" si="40"/>
        <v>1.1690140845070423</v>
      </c>
      <c r="M102" s="15">
        <f t="shared" ref="M102:M117" si="41">G102/$J102</f>
        <v>0.44962080173347779</v>
      </c>
      <c r="N102" s="15">
        <f t="shared" ref="N102:N117" si="42">H102/$J102</f>
        <v>0.73721608932876526</v>
      </c>
      <c r="O102" s="15">
        <f t="shared" ref="O102:O117" si="43">I102/$J102</f>
        <v>1.8424678505817513</v>
      </c>
    </row>
    <row r="103" spans="3:15" x14ac:dyDescent="0.25">
      <c r="C103" s="131"/>
      <c r="D103" s="38">
        <v>5</v>
      </c>
      <c r="E103" s="20" t="s">
        <v>290</v>
      </c>
      <c r="F103" s="46">
        <v>0.52631578947368418</v>
      </c>
      <c r="G103" s="46">
        <v>0.81196581196581197</v>
      </c>
      <c r="H103" s="46">
        <v>0.70270270270270274</v>
      </c>
      <c r="I103" s="46">
        <v>0.21739130434782608</v>
      </c>
      <c r="J103" s="46">
        <v>0.58554216867469877</v>
      </c>
      <c r="K103" s="6"/>
      <c r="L103" s="15">
        <f t="shared" ref="L103:L117" si="44">F103/$J103</f>
        <v>0.8988520684427117</v>
      </c>
      <c r="M103" s="15">
        <f t="shared" si="41"/>
        <v>1.3866905842214485</v>
      </c>
      <c r="N103" s="15">
        <f t="shared" si="42"/>
        <v>1.2000889778667558</v>
      </c>
      <c r="O103" s="15">
        <f t="shared" si="43"/>
        <v>0.37126498479155484</v>
      </c>
    </row>
    <row r="104" spans="3:15" x14ac:dyDescent="0.25">
      <c r="C104" s="131"/>
      <c r="D104" s="38">
        <v>6</v>
      </c>
      <c r="E104" s="20" t="s">
        <v>291</v>
      </c>
      <c r="F104" s="46">
        <v>0.4631578947368421</v>
      </c>
      <c r="G104" s="46">
        <v>0.79487179487179482</v>
      </c>
      <c r="H104" s="46">
        <v>0.63963963963963966</v>
      </c>
      <c r="I104" s="46">
        <v>0.19565217391304349</v>
      </c>
      <c r="J104" s="46">
        <v>0.54457831325301209</v>
      </c>
      <c r="K104" s="6"/>
      <c r="L104" s="15">
        <f t="shared" si="44"/>
        <v>0.85048905449464363</v>
      </c>
      <c r="M104" s="15">
        <f t="shared" si="41"/>
        <v>1.459609711822101</v>
      </c>
      <c r="N104" s="15">
        <f t="shared" si="42"/>
        <v>1.1745595152674797</v>
      </c>
      <c r="O104" s="15">
        <f t="shared" si="43"/>
        <v>0.35927279722970373</v>
      </c>
    </row>
    <row r="105" spans="3:15" x14ac:dyDescent="0.25">
      <c r="C105" s="131"/>
      <c r="D105" s="38">
        <v>7</v>
      </c>
      <c r="E105" s="20" t="s">
        <v>292</v>
      </c>
      <c r="F105" s="46">
        <v>0.41052631578947368</v>
      </c>
      <c r="G105" s="46">
        <v>0.59829059829059827</v>
      </c>
      <c r="H105" s="46">
        <v>0.45045045045045046</v>
      </c>
      <c r="I105" s="46">
        <v>0.2391304347826087</v>
      </c>
      <c r="J105" s="46">
        <v>0.43614457831325304</v>
      </c>
      <c r="K105" s="6"/>
      <c r="L105" s="15">
        <f t="shared" si="44"/>
        <v>0.94126199476592032</v>
      </c>
      <c r="M105" s="15">
        <f t="shared" si="41"/>
        <v>1.3717712612740236</v>
      </c>
      <c r="N105" s="15">
        <f t="shared" si="42"/>
        <v>1.0328007565576627</v>
      </c>
      <c r="O105" s="15">
        <f t="shared" si="43"/>
        <v>0.54828248858995909</v>
      </c>
    </row>
    <row r="106" spans="3:15" x14ac:dyDescent="0.25">
      <c r="C106" s="131"/>
      <c r="D106" s="38">
        <v>8</v>
      </c>
      <c r="E106" s="20" t="s">
        <v>293</v>
      </c>
      <c r="F106" s="46">
        <v>7.3684210526315783E-2</v>
      </c>
      <c r="G106" s="46">
        <v>5.9829059829059832E-2</v>
      </c>
      <c r="H106" s="46">
        <v>1.8018018018018018E-2</v>
      </c>
      <c r="I106" s="46">
        <v>0.10869565217391304</v>
      </c>
      <c r="J106" s="46">
        <v>6.2650602409638559E-2</v>
      </c>
      <c r="K106" s="6"/>
      <c r="L106" s="15">
        <f t="shared" si="44"/>
        <v>1.1761133603238865</v>
      </c>
      <c r="M106" s="15">
        <f t="shared" si="41"/>
        <v>0.95496383957922415</v>
      </c>
      <c r="N106" s="15">
        <f t="shared" si="42"/>
        <v>0.28759528759528757</v>
      </c>
      <c r="O106" s="15">
        <f t="shared" si="43"/>
        <v>1.7349498327759196</v>
      </c>
    </row>
    <row r="107" spans="3:15" x14ac:dyDescent="0.25">
      <c r="C107" s="131"/>
      <c r="D107" s="38">
        <v>9</v>
      </c>
      <c r="E107" s="20" t="s">
        <v>294</v>
      </c>
      <c r="F107" s="46">
        <v>0.10526315789473684</v>
      </c>
      <c r="G107" s="46">
        <v>0.30769230769230771</v>
      </c>
      <c r="H107" s="46">
        <v>0.2072072072072072</v>
      </c>
      <c r="I107" s="46">
        <v>0.13043478260869565</v>
      </c>
      <c r="J107" s="46">
        <v>0.19518072289156627</v>
      </c>
      <c r="K107" s="6"/>
      <c r="L107" s="15">
        <f t="shared" si="44"/>
        <v>0.539311241065627</v>
      </c>
      <c r="M107" s="15">
        <f t="shared" si="41"/>
        <v>1.5764482431149098</v>
      </c>
      <c r="N107" s="15">
        <f t="shared" si="42"/>
        <v>1.0616171727282837</v>
      </c>
      <c r="O107" s="15">
        <f t="shared" si="43"/>
        <v>0.66827697262479868</v>
      </c>
    </row>
    <row r="108" spans="3:15" x14ac:dyDescent="0.25">
      <c r="C108" s="131"/>
      <c r="D108" s="38">
        <v>10</v>
      </c>
      <c r="E108" s="20" t="s">
        <v>295</v>
      </c>
      <c r="F108" s="46">
        <v>0.27368421052631581</v>
      </c>
      <c r="G108" s="46">
        <v>0.76068376068376065</v>
      </c>
      <c r="H108" s="46">
        <v>0.5495495495495496</v>
      </c>
      <c r="I108" s="46">
        <v>0.11956521739130435</v>
      </c>
      <c r="J108" s="46">
        <v>0.45060240963855419</v>
      </c>
      <c r="K108" s="6"/>
      <c r="L108" s="15">
        <f t="shared" si="44"/>
        <v>0.60737405009850842</v>
      </c>
      <c r="M108" s="15">
        <f t="shared" si="41"/>
        <v>1.6881484528543351</v>
      </c>
      <c r="N108" s="15">
        <f t="shared" si="42"/>
        <v>1.2195885725297493</v>
      </c>
      <c r="O108" s="15">
        <f t="shared" si="43"/>
        <v>0.26534526854219953</v>
      </c>
    </row>
    <row r="109" spans="3:15" x14ac:dyDescent="0.25">
      <c r="C109" s="131"/>
      <c r="D109" s="38">
        <v>11</v>
      </c>
      <c r="E109" s="20" t="s">
        <v>296</v>
      </c>
      <c r="F109" s="46">
        <v>0.43157894736842106</v>
      </c>
      <c r="G109" s="46">
        <v>0.9145299145299145</v>
      </c>
      <c r="H109" s="46">
        <v>0.77477477477477474</v>
      </c>
      <c r="I109" s="46">
        <v>0.14130434782608695</v>
      </c>
      <c r="J109" s="46">
        <v>0.59518072289156632</v>
      </c>
      <c r="K109" s="6"/>
      <c r="L109" s="15">
        <f t="shared" si="44"/>
        <v>0.7251225229064564</v>
      </c>
      <c r="M109" s="15">
        <f t="shared" si="41"/>
        <v>1.5365583584207063</v>
      </c>
      <c r="N109" s="15">
        <f t="shared" si="42"/>
        <v>1.3017470912207754</v>
      </c>
      <c r="O109" s="15">
        <f t="shared" si="43"/>
        <v>0.23741418764302055</v>
      </c>
    </row>
    <row r="110" spans="3:15" x14ac:dyDescent="0.25">
      <c r="C110" s="131"/>
      <c r="D110" s="38">
        <v>12</v>
      </c>
      <c r="E110" s="20" t="s">
        <v>297</v>
      </c>
      <c r="F110" s="46">
        <v>0.4631578947368421</v>
      </c>
      <c r="G110" s="46">
        <v>0.74358974358974361</v>
      </c>
      <c r="H110" s="46">
        <v>0.70270270270270274</v>
      </c>
      <c r="I110" s="46">
        <v>0.2608695652173913</v>
      </c>
      <c r="J110" s="46">
        <v>0.56144578313253013</v>
      </c>
      <c r="K110" s="6"/>
      <c r="L110" s="15">
        <f t="shared" si="44"/>
        <v>0.82493788118364575</v>
      </c>
      <c r="M110" s="15">
        <f t="shared" si="41"/>
        <v>1.3244195003851655</v>
      </c>
      <c r="N110" s="15">
        <f t="shared" si="42"/>
        <v>1.2515949425820672</v>
      </c>
      <c r="O110" s="15">
        <f t="shared" si="43"/>
        <v>0.4646389251726068</v>
      </c>
    </row>
    <row r="111" spans="3:15" x14ac:dyDescent="0.25">
      <c r="C111" s="131"/>
      <c r="D111" s="38">
        <v>13</v>
      </c>
      <c r="E111" s="20" t="s">
        <v>298</v>
      </c>
      <c r="F111" s="46">
        <v>0.84210526315789469</v>
      </c>
      <c r="G111" s="46">
        <v>0.85470085470085466</v>
      </c>
      <c r="H111" s="46">
        <v>0.90990990990990994</v>
      </c>
      <c r="I111" s="46">
        <v>0.55434782608695654</v>
      </c>
      <c r="J111" s="46">
        <v>0.8</v>
      </c>
      <c r="K111" s="6"/>
      <c r="L111" s="15">
        <f t="shared" si="44"/>
        <v>1.0526315789473684</v>
      </c>
      <c r="M111" s="15">
        <f t="shared" si="41"/>
        <v>1.0683760683760684</v>
      </c>
      <c r="N111" s="15">
        <f t="shared" si="42"/>
        <v>1.1373873873873874</v>
      </c>
      <c r="O111" s="15">
        <f t="shared" si="43"/>
        <v>0.69293478260869568</v>
      </c>
    </row>
    <row r="112" spans="3:15" x14ac:dyDescent="0.25">
      <c r="C112" s="131"/>
      <c r="D112" s="38">
        <v>14</v>
      </c>
      <c r="E112" s="20" t="s">
        <v>299</v>
      </c>
      <c r="F112" s="46">
        <v>0.88421052631578945</v>
      </c>
      <c r="G112" s="46">
        <v>0.94017094017094016</v>
      </c>
      <c r="H112" s="46">
        <v>0.91891891891891897</v>
      </c>
      <c r="I112" s="46">
        <v>0.41304347826086957</v>
      </c>
      <c r="J112" s="46">
        <v>0.80481927710843371</v>
      </c>
      <c r="K112" s="6"/>
      <c r="L112" s="15">
        <f t="shared" si="44"/>
        <v>1.0986448156318942</v>
      </c>
      <c r="M112" s="15">
        <f t="shared" si="41"/>
        <v>1.1681764675776651</v>
      </c>
      <c r="N112" s="15">
        <f t="shared" si="42"/>
        <v>1.1417705130279983</v>
      </c>
      <c r="O112" s="15">
        <f t="shared" si="43"/>
        <v>0.51321270502473315</v>
      </c>
    </row>
    <row r="113" spans="3:15" x14ac:dyDescent="0.25">
      <c r="C113" s="131"/>
      <c r="D113" s="38">
        <v>15</v>
      </c>
      <c r="E113" s="20" t="s">
        <v>300</v>
      </c>
      <c r="F113" s="46">
        <v>0.61052631578947369</v>
      </c>
      <c r="G113" s="46">
        <v>0.86324786324786329</v>
      </c>
      <c r="H113" s="46">
        <v>0.72072072072072069</v>
      </c>
      <c r="I113" s="46">
        <v>0.31521739130434784</v>
      </c>
      <c r="J113" s="46">
        <v>0.64578313253012043</v>
      </c>
      <c r="K113" s="6"/>
      <c r="L113" s="15">
        <f t="shared" si="44"/>
        <v>0.94540455616653585</v>
      </c>
      <c r="M113" s="15">
        <f t="shared" si="41"/>
        <v>1.3367457583875495</v>
      </c>
      <c r="N113" s="15">
        <f t="shared" si="42"/>
        <v>1.1160414145488773</v>
      </c>
      <c r="O113" s="15">
        <f t="shared" si="43"/>
        <v>0.4881164828033745</v>
      </c>
    </row>
    <row r="114" spans="3:15" x14ac:dyDescent="0.25">
      <c r="C114" s="131"/>
      <c r="D114" s="38">
        <v>16</v>
      </c>
      <c r="E114" s="20" t="s">
        <v>301</v>
      </c>
      <c r="F114" s="46">
        <v>0.10526315789473684</v>
      </c>
      <c r="G114" s="46">
        <v>0.1111111111111111</v>
      </c>
      <c r="H114" s="46">
        <v>9.0090090090090086E-2</v>
      </c>
      <c r="I114" s="46">
        <v>8.6956521739130432E-2</v>
      </c>
      <c r="J114" s="46">
        <v>9.8795180722891562E-2</v>
      </c>
      <c r="K114" s="6"/>
      <c r="L114" s="15">
        <f t="shared" si="44"/>
        <v>1.0654685494223364</v>
      </c>
      <c r="M114" s="15">
        <f t="shared" si="41"/>
        <v>1.1246612466124661</v>
      </c>
      <c r="N114" s="15">
        <f t="shared" si="42"/>
        <v>0.91188749725335094</v>
      </c>
      <c r="O114" s="15">
        <f t="shared" si="43"/>
        <v>0.88016967126193002</v>
      </c>
    </row>
    <row r="115" spans="3:15" x14ac:dyDescent="0.25">
      <c r="C115" s="131"/>
      <c r="D115" s="38">
        <v>17</v>
      </c>
      <c r="E115" s="20" t="s">
        <v>302</v>
      </c>
      <c r="F115" s="46">
        <v>0.84210526315789469</v>
      </c>
      <c r="G115" s="46">
        <v>0.96581196581196582</v>
      </c>
      <c r="H115" s="46">
        <v>0.963963963963964</v>
      </c>
      <c r="I115" s="46">
        <v>0.54347826086956519</v>
      </c>
      <c r="J115" s="46">
        <v>0.84337349397590367</v>
      </c>
      <c r="K115" s="6"/>
      <c r="L115" s="15">
        <f t="shared" si="44"/>
        <v>0.99849624060150366</v>
      </c>
      <c r="M115" s="15">
        <f t="shared" si="41"/>
        <v>1.1451770451770451</v>
      </c>
      <c r="N115" s="15">
        <f t="shared" si="42"/>
        <v>1.142985842985843</v>
      </c>
      <c r="O115" s="15">
        <f t="shared" si="43"/>
        <v>0.64440993788819867</v>
      </c>
    </row>
    <row r="116" spans="3:15" x14ac:dyDescent="0.25">
      <c r="C116" s="131"/>
      <c r="D116" s="38">
        <v>18</v>
      </c>
      <c r="E116" s="20" t="s">
        <v>303</v>
      </c>
      <c r="F116" s="46">
        <v>0.38947368421052631</v>
      </c>
      <c r="G116" s="46">
        <v>0.58119658119658124</v>
      </c>
      <c r="H116" s="46">
        <v>0.48648648648648651</v>
      </c>
      <c r="I116" s="46">
        <v>0.17391304347826086</v>
      </c>
      <c r="J116" s="46">
        <v>0.42168674698795183</v>
      </c>
      <c r="K116" s="6"/>
      <c r="L116" s="15">
        <f t="shared" si="44"/>
        <v>0.92360902255639088</v>
      </c>
      <c r="M116" s="15">
        <f t="shared" si="41"/>
        <v>1.3782661782661783</v>
      </c>
      <c r="N116" s="15">
        <f t="shared" si="42"/>
        <v>1.1536679536679537</v>
      </c>
      <c r="O116" s="15">
        <f t="shared" si="43"/>
        <v>0.4124223602484472</v>
      </c>
    </row>
    <row r="117" spans="3:15" x14ac:dyDescent="0.25">
      <c r="C117" s="132"/>
      <c r="D117" s="38">
        <v>19</v>
      </c>
      <c r="E117" s="20" t="s">
        <v>304</v>
      </c>
      <c r="F117" s="46">
        <v>6.3157894736842107E-2</v>
      </c>
      <c r="G117" s="46">
        <v>0.21367521367521367</v>
      </c>
      <c r="H117" s="46">
        <v>0.15315315315315314</v>
      </c>
      <c r="I117" s="46">
        <v>0.10869565217391304</v>
      </c>
      <c r="J117" s="46">
        <v>0.13975903614457832</v>
      </c>
      <c r="K117" s="6"/>
      <c r="L117" s="15">
        <f t="shared" si="44"/>
        <v>0.45190562613430124</v>
      </c>
      <c r="M117" s="15">
        <f t="shared" si="41"/>
        <v>1.5288829944002356</v>
      </c>
      <c r="N117" s="15">
        <f t="shared" si="42"/>
        <v>1.0958372165268715</v>
      </c>
      <c r="O117" s="15">
        <f t="shared" si="43"/>
        <v>0.7777361319340329</v>
      </c>
    </row>
    <row r="118" spans="3:15" x14ac:dyDescent="0.25">
      <c r="K118" s="6"/>
    </row>
    <row r="119" spans="3:15" x14ac:dyDescent="0.25">
      <c r="F119" s="27">
        <v>1</v>
      </c>
      <c r="G119" s="27">
        <v>2</v>
      </c>
      <c r="H119" s="27">
        <v>3</v>
      </c>
      <c r="I119" s="27">
        <v>4</v>
      </c>
      <c r="J119" s="40" t="s">
        <v>136</v>
      </c>
      <c r="K119" s="6"/>
    </row>
    <row r="120" spans="3:15" x14ac:dyDescent="0.25">
      <c r="C120" s="130" t="s">
        <v>368</v>
      </c>
      <c r="D120" s="39">
        <v>1</v>
      </c>
      <c r="E120" s="20" t="s">
        <v>305</v>
      </c>
      <c r="F120" s="46">
        <v>0.30526315789473685</v>
      </c>
      <c r="G120" s="46">
        <v>0.31623931623931623</v>
      </c>
      <c r="H120" s="46">
        <v>0.35135135135135137</v>
      </c>
      <c r="I120" s="46">
        <v>0.35869565217391303</v>
      </c>
      <c r="J120" s="46">
        <v>0.3325301204819277</v>
      </c>
      <c r="K120" s="6"/>
      <c r="L120" s="15">
        <f t="shared" ref="L120" si="45">F120/$J120</f>
        <v>0.91800152555301295</v>
      </c>
      <c r="M120" s="15">
        <f t="shared" ref="M120" si="46">G120/$J120</f>
        <v>0.95100953796605969</v>
      </c>
      <c r="N120" s="15">
        <f t="shared" ref="N120" si="47">H120/$J120</f>
        <v>1.0566000783392089</v>
      </c>
      <c r="O120" s="15">
        <f t="shared" ref="O120" si="48">I120/$J120</f>
        <v>1.0786862003780717</v>
      </c>
    </row>
    <row r="121" spans="3:15" x14ac:dyDescent="0.25">
      <c r="C121" s="131"/>
      <c r="D121" s="39">
        <v>2</v>
      </c>
      <c r="E121" s="20" t="s">
        <v>306</v>
      </c>
      <c r="F121" s="46">
        <v>7.3684210526315783E-2</v>
      </c>
      <c r="G121" s="46">
        <v>3.4188034188034191E-2</v>
      </c>
      <c r="H121" s="46">
        <v>6.3063063063063057E-2</v>
      </c>
      <c r="I121" s="46">
        <v>8.6956521739130432E-2</v>
      </c>
      <c r="J121" s="46">
        <v>6.2650602409638559E-2</v>
      </c>
      <c r="K121" s="6"/>
      <c r="L121" s="15">
        <f t="shared" ref="L121:L136" si="49">F121/$J121</f>
        <v>1.1761133603238865</v>
      </c>
      <c r="M121" s="15">
        <f t="shared" ref="M121:M136" si="50">G121/$J121</f>
        <v>0.54569362261669951</v>
      </c>
      <c r="N121" s="15">
        <f t="shared" ref="N121:N136" si="51">H121/$J121</f>
        <v>1.0065835065835065</v>
      </c>
      <c r="O121" s="15">
        <f t="shared" ref="O121:O136" si="52">I121/$J121</f>
        <v>1.3879598662207357</v>
      </c>
    </row>
    <row r="122" spans="3:15" x14ac:dyDescent="0.25">
      <c r="C122" s="131"/>
      <c r="D122" s="39">
        <v>3</v>
      </c>
      <c r="E122" s="20" t="s">
        <v>307</v>
      </c>
      <c r="F122" s="46">
        <v>0.37894736842105264</v>
      </c>
      <c r="G122" s="46">
        <v>0.38461538461538464</v>
      </c>
      <c r="H122" s="46">
        <v>0.36936936936936937</v>
      </c>
      <c r="I122" s="46">
        <v>0.40217391304347827</v>
      </c>
      <c r="J122" s="46">
        <v>0.38313253012048193</v>
      </c>
      <c r="K122" s="6"/>
      <c r="L122" s="15">
        <f t="shared" si="49"/>
        <v>0.98907646474677258</v>
      </c>
      <c r="M122" s="15">
        <f t="shared" si="50"/>
        <v>1.003870343492985</v>
      </c>
      <c r="N122" s="15">
        <f t="shared" si="51"/>
        <v>0.96407728483200184</v>
      </c>
      <c r="O122" s="15">
        <f t="shared" si="52"/>
        <v>1.0496992070002735</v>
      </c>
    </row>
    <row r="123" spans="3:15" x14ac:dyDescent="0.25">
      <c r="C123" s="131"/>
      <c r="D123" s="39">
        <v>4</v>
      </c>
      <c r="E123" s="20" t="s">
        <v>308</v>
      </c>
      <c r="F123" s="46">
        <v>0.21052631578947367</v>
      </c>
      <c r="G123" s="46">
        <v>0.19658119658119658</v>
      </c>
      <c r="H123" s="46">
        <v>0.22522522522522523</v>
      </c>
      <c r="I123" s="46">
        <v>0.11956521739130435</v>
      </c>
      <c r="J123" s="46">
        <v>0.19036144578313252</v>
      </c>
      <c r="K123" s="6"/>
      <c r="L123" s="15">
        <f t="shared" si="49"/>
        <v>1.1059293804130579</v>
      </c>
      <c r="M123" s="15">
        <f t="shared" si="50"/>
        <v>1.0326733744455263</v>
      </c>
      <c r="N123" s="15">
        <f t="shared" si="51"/>
        <v>1.1831451704869427</v>
      </c>
      <c r="O123" s="15">
        <f t="shared" si="52"/>
        <v>0.6280957622454596</v>
      </c>
    </row>
    <row r="124" spans="3:15" x14ac:dyDescent="0.25">
      <c r="C124" s="131"/>
      <c r="D124" s="39">
        <v>5</v>
      </c>
      <c r="E124" s="20" t="s">
        <v>309</v>
      </c>
      <c r="F124" s="46">
        <v>0.11578947368421053</v>
      </c>
      <c r="G124" s="46">
        <v>0.14529914529914531</v>
      </c>
      <c r="H124" s="46">
        <v>0.10810810810810811</v>
      </c>
      <c r="I124" s="46">
        <v>0.11956521739130435</v>
      </c>
      <c r="J124" s="46">
        <v>0.12289156626506025</v>
      </c>
      <c r="K124" s="6"/>
      <c r="L124" s="15">
        <f t="shared" si="49"/>
        <v>0.94220846233230127</v>
      </c>
      <c r="M124" s="15">
        <f t="shared" si="50"/>
        <v>1.1823361823361824</v>
      </c>
      <c r="N124" s="15">
        <f t="shared" si="51"/>
        <v>0.87970323264440908</v>
      </c>
      <c r="O124" s="15">
        <f t="shared" si="52"/>
        <v>0.97293265132139817</v>
      </c>
    </row>
    <row r="125" spans="3:15" x14ac:dyDescent="0.25">
      <c r="C125" s="131"/>
      <c r="D125" s="39">
        <v>6</v>
      </c>
      <c r="E125" s="20" t="s">
        <v>310</v>
      </c>
      <c r="F125" s="46">
        <v>0.27368421052631581</v>
      </c>
      <c r="G125" s="46">
        <v>0.25641025641025639</v>
      </c>
      <c r="H125" s="46">
        <v>9.90990990990991E-2</v>
      </c>
      <c r="I125" s="46">
        <v>0.25</v>
      </c>
      <c r="J125" s="46">
        <v>0.21686746987951808</v>
      </c>
      <c r="K125" s="6"/>
      <c r="L125" s="15">
        <f t="shared" si="49"/>
        <v>1.2619883040935673</v>
      </c>
      <c r="M125" s="15">
        <f t="shared" si="50"/>
        <v>1.1823361823361822</v>
      </c>
      <c r="N125" s="15">
        <f t="shared" si="51"/>
        <v>0.45695695695695693</v>
      </c>
      <c r="O125" s="15">
        <f t="shared" si="52"/>
        <v>1.1527777777777777</v>
      </c>
    </row>
    <row r="126" spans="3:15" x14ac:dyDescent="0.25">
      <c r="C126" s="131"/>
      <c r="D126" s="39">
        <v>7</v>
      </c>
      <c r="E126" s="20" t="s">
        <v>311</v>
      </c>
      <c r="F126" s="46">
        <v>3.1578947368421054E-2</v>
      </c>
      <c r="G126" s="46">
        <v>3.4188034188034191E-2</v>
      </c>
      <c r="H126" s="46">
        <v>4.5045045045045043E-2</v>
      </c>
      <c r="I126" s="46">
        <v>3.2608695652173912E-2</v>
      </c>
      <c r="J126" s="46">
        <v>3.614457831325301E-2</v>
      </c>
      <c r="K126" s="6"/>
      <c r="L126" s="15">
        <f t="shared" si="49"/>
        <v>0.87368421052631584</v>
      </c>
      <c r="M126" s="15">
        <f t="shared" si="50"/>
        <v>0.94586894586894599</v>
      </c>
      <c r="N126" s="15">
        <f t="shared" si="51"/>
        <v>1.2462462462462462</v>
      </c>
      <c r="O126" s="15">
        <f t="shared" si="52"/>
        <v>0.90217391304347827</v>
      </c>
    </row>
    <row r="127" spans="3:15" x14ac:dyDescent="0.25">
      <c r="C127" s="131"/>
      <c r="D127" s="39">
        <v>8</v>
      </c>
      <c r="E127" s="20" t="s">
        <v>312</v>
      </c>
      <c r="F127" s="46">
        <v>7.3684210526315783E-2</v>
      </c>
      <c r="G127" s="46">
        <v>0.13675213675213677</v>
      </c>
      <c r="H127" s="46">
        <v>8.1081081081081086E-2</v>
      </c>
      <c r="I127" s="46">
        <v>0.15217391304347827</v>
      </c>
      <c r="J127" s="46">
        <v>0.1108433734939759</v>
      </c>
      <c r="K127" s="6"/>
      <c r="L127" s="15">
        <f t="shared" si="49"/>
        <v>0.66475972540045769</v>
      </c>
      <c r="M127" s="15">
        <f t="shared" si="50"/>
        <v>1.2337421033073208</v>
      </c>
      <c r="N127" s="15">
        <f t="shared" si="51"/>
        <v>0.73149236192714462</v>
      </c>
      <c r="O127" s="15">
        <f t="shared" si="52"/>
        <v>1.3728733459357279</v>
      </c>
    </row>
    <row r="128" spans="3:15" x14ac:dyDescent="0.25">
      <c r="C128" s="131"/>
      <c r="D128" s="39">
        <v>9</v>
      </c>
      <c r="E128" s="20" t="s">
        <v>313</v>
      </c>
      <c r="F128" s="46">
        <v>0.15789473684210525</v>
      </c>
      <c r="G128" s="46">
        <v>0.14529914529914531</v>
      </c>
      <c r="H128" s="46">
        <v>0.22522522522522523</v>
      </c>
      <c r="I128" s="46">
        <v>0.17391304347826086</v>
      </c>
      <c r="J128" s="46">
        <v>0.17590361445783131</v>
      </c>
      <c r="K128" s="6"/>
      <c r="L128" s="15">
        <f t="shared" si="49"/>
        <v>0.89762076423936554</v>
      </c>
      <c r="M128" s="15">
        <f t="shared" si="50"/>
        <v>0.82601568902938782</v>
      </c>
      <c r="N128" s="15">
        <f t="shared" si="51"/>
        <v>1.2803899790201161</v>
      </c>
      <c r="O128" s="15">
        <f t="shared" si="52"/>
        <v>0.9886837403216201</v>
      </c>
    </row>
    <row r="129" spans="3:15" x14ac:dyDescent="0.25">
      <c r="C129" s="131"/>
      <c r="D129" s="39">
        <v>10</v>
      </c>
      <c r="E129" s="20" t="s">
        <v>314</v>
      </c>
      <c r="F129" s="46">
        <v>0.18947368421052632</v>
      </c>
      <c r="G129" s="46">
        <v>0.10256410256410256</v>
      </c>
      <c r="H129" s="46">
        <v>0.10810810810810811</v>
      </c>
      <c r="I129" s="46">
        <v>0.16304347826086957</v>
      </c>
      <c r="J129" s="46">
        <v>0.13734939759036144</v>
      </c>
      <c r="K129" s="6"/>
      <c r="L129" s="15">
        <f t="shared" si="49"/>
        <v>1.3795013850415514</v>
      </c>
      <c r="M129" s="15">
        <f t="shared" si="50"/>
        <v>0.74673864147548363</v>
      </c>
      <c r="N129" s="15">
        <f t="shared" si="51"/>
        <v>0.78710289236605036</v>
      </c>
      <c r="O129" s="15">
        <f t="shared" si="52"/>
        <v>1.187070938215103</v>
      </c>
    </row>
    <row r="130" spans="3:15" x14ac:dyDescent="0.25">
      <c r="C130" s="131"/>
      <c r="D130" s="39">
        <v>11</v>
      </c>
      <c r="E130" s="20" t="s">
        <v>315</v>
      </c>
      <c r="F130" s="46">
        <v>0.28421052631578947</v>
      </c>
      <c r="G130" s="46">
        <v>0.24786324786324787</v>
      </c>
      <c r="H130" s="46">
        <v>0.36036036036036034</v>
      </c>
      <c r="I130" s="46">
        <v>0.22826086956521738</v>
      </c>
      <c r="J130" s="46">
        <v>0.28192771084337348</v>
      </c>
      <c r="K130" s="6"/>
      <c r="L130" s="15">
        <f t="shared" si="49"/>
        <v>1.0080971659919029</v>
      </c>
      <c r="M130" s="15">
        <f t="shared" si="50"/>
        <v>0.8791730586602382</v>
      </c>
      <c r="N130" s="15">
        <f t="shared" si="51"/>
        <v>1.2782012782012782</v>
      </c>
      <c r="O130" s="15">
        <f t="shared" si="52"/>
        <v>0.80964325529542924</v>
      </c>
    </row>
    <row r="131" spans="3:15" x14ac:dyDescent="0.25">
      <c r="C131" s="131"/>
      <c r="D131" s="39">
        <v>12</v>
      </c>
      <c r="E131" s="20" t="s">
        <v>316</v>
      </c>
      <c r="F131" s="46">
        <v>0.43157894736842106</v>
      </c>
      <c r="G131" s="46">
        <v>0.35897435897435898</v>
      </c>
      <c r="H131" s="46">
        <v>0.34234234234234234</v>
      </c>
      <c r="I131" s="46">
        <v>0.25</v>
      </c>
      <c r="J131" s="46">
        <v>0.34698795180722891</v>
      </c>
      <c r="K131" s="6"/>
      <c r="L131" s="15">
        <f t="shared" si="49"/>
        <v>1.2437865497076024</v>
      </c>
      <c r="M131" s="15">
        <f t="shared" si="50"/>
        <v>1.0345441595441596</v>
      </c>
      <c r="N131" s="15">
        <f t="shared" si="51"/>
        <v>0.98661161161161159</v>
      </c>
      <c r="O131" s="15">
        <f t="shared" si="52"/>
        <v>0.72048611111111116</v>
      </c>
    </row>
    <row r="132" spans="3:15" x14ac:dyDescent="0.25">
      <c r="C132" s="131"/>
      <c r="D132" s="39">
        <v>13</v>
      </c>
      <c r="E132" s="20" t="s">
        <v>317</v>
      </c>
      <c r="F132" s="46">
        <v>0.12631578947368421</v>
      </c>
      <c r="G132" s="46">
        <v>0.1111111111111111</v>
      </c>
      <c r="H132" s="46">
        <v>9.0090090090090086E-2</v>
      </c>
      <c r="I132" s="46">
        <v>0.10869565217391304</v>
      </c>
      <c r="J132" s="46">
        <v>0.10843373493975904</v>
      </c>
      <c r="K132" s="6"/>
      <c r="L132" s="15">
        <f t="shared" si="49"/>
        <v>1.1649122807017545</v>
      </c>
      <c r="M132" s="15">
        <f t="shared" si="50"/>
        <v>1.0246913580246912</v>
      </c>
      <c r="N132" s="15">
        <f t="shared" si="51"/>
        <v>0.83083083083083076</v>
      </c>
      <c r="O132" s="15">
        <f t="shared" si="52"/>
        <v>1.0024154589371981</v>
      </c>
    </row>
    <row r="133" spans="3:15" x14ac:dyDescent="0.25">
      <c r="C133" s="131"/>
      <c r="D133" s="39">
        <v>14</v>
      </c>
      <c r="E133" s="20" t="s">
        <v>318</v>
      </c>
      <c r="F133" s="46">
        <v>3.1578947368421054E-2</v>
      </c>
      <c r="G133" s="46">
        <v>0.1111111111111111</v>
      </c>
      <c r="H133" s="46">
        <v>0.12612612612612611</v>
      </c>
      <c r="I133" s="46">
        <v>0.14130434782608695</v>
      </c>
      <c r="J133" s="46">
        <v>0.10361445783132531</v>
      </c>
      <c r="K133" s="6"/>
      <c r="L133" s="15">
        <f t="shared" si="49"/>
        <v>0.3047735618115055</v>
      </c>
      <c r="M133" s="15">
        <f t="shared" si="50"/>
        <v>1.0723514211886305</v>
      </c>
      <c r="N133" s="15">
        <f t="shared" si="51"/>
        <v>1.2172637754033102</v>
      </c>
      <c r="O133" s="15">
        <f t="shared" si="52"/>
        <v>1.3637512639029321</v>
      </c>
    </row>
    <row r="134" spans="3:15" x14ac:dyDescent="0.25">
      <c r="C134" s="131"/>
      <c r="D134" s="39">
        <v>15</v>
      </c>
      <c r="E134" s="20" t="s">
        <v>319</v>
      </c>
      <c r="F134" s="46">
        <v>7.3684210526315783E-2</v>
      </c>
      <c r="G134" s="46">
        <v>5.9829059829059832E-2</v>
      </c>
      <c r="H134" s="46">
        <v>3.6036036036036036E-2</v>
      </c>
      <c r="I134" s="46">
        <v>7.6086956521739135E-2</v>
      </c>
      <c r="J134" s="46">
        <v>6.0240963855421686E-2</v>
      </c>
      <c r="K134" s="6"/>
      <c r="L134" s="15">
        <f t="shared" si="49"/>
        <v>1.223157894736842</v>
      </c>
      <c r="M134" s="15">
        <f t="shared" si="50"/>
        <v>0.99316239316239319</v>
      </c>
      <c r="N134" s="15">
        <f t="shared" si="51"/>
        <v>0.59819819819819819</v>
      </c>
      <c r="O134" s="15">
        <f t="shared" si="52"/>
        <v>1.2630434782608697</v>
      </c>
    </row>
    <row r="135" spans="3:15" x14ac:dyDescent="0.25">
      <c r="C135" s="131"/>
      <c r="D135" s="39">
        <v>16</v>
      </c>
      <c r="E135" s="20" t="s">
        <v>320</v>
      </c>
      <c r="F135" s="46">
        <v>0.24210526315789474</v>
      </c>
      <c r="G135" s="46">
        <v>0.26495726495726496</v>
      </c>
      <c r="H135" s="46">
        <v>0.28828828828828829</v>
      </c>
      <c r="I135" s="46">
        <v>0.19565217391304349</v>
      </c>
      <c r="J135" s="46">
        <v>0.25060240963855424</v>
      </c>
      <c r="K135" s="6"/>
      <c r="L135" s="15">
        <f t="shared" si="49"/>
        <v>0.9660931174089068</v>
      </c>
      <c r="M135" s="15">
        <f t="shared" si="50"/>
        <v>1.0572813938198553</v>
      </c>
      <c r="N135" s="15">
        <f t="shared" si="51"/>
        <v>1.1503811503811503</v>
      </c>
      <c r="O135" s="15">
        <f t="shared" si="52"/>
        <v>0.7807274247491639</v>
      </c>
    </row>
    <row r="136" spans="3:15" x14ac:dyDescent="0.25">
      <c r="C136" s="132"/>
      <c r="D136" s="39">
        <v>17</v>
      </c>
      <c r="E136" s="20" t="s">
        <v>321</v>
      </c>
      <c r="F136" s="46">
        <v>0</v>
      </c>
      <c r="G136" s="46">
        <v>9.4017094017094016E-2</v>
      </c>
      <c r="H136" s="46">
        <v>8.1081081081081086E-2</v>
      </c>
      <c r="I136" s="46">
        <v>0.14130434782608695</v>
      </c>
      <c r="J136" s="46">
        <v>7.9518072289156624E-2</v>
      </c>
      <c r="K136" s="6"/>
      <c r="L136" s="15">
        <f t="shared" si="49"/>
        <v>0</v>
      </c>
      <c r="M136" s="15">
        <f t="shared" si="50"/>
        <v>1.1823361823361824</v>
      </c>
      <c r="N136" s="15">
        <f t="shared" si="51"/>
        <v>1.0196560196560198</v>
      </c>
      <c r="O136" s="15">
        <f t="shared" si="52"/>
        <v>1.7770092226613965</v>
      </c>
    </row>
    <row r="137" spans="3:15" x14ac:dyDescent="0.25">
      <c r="C137" s="38"/>
      <c r="D137" s="39"/>
      <c r="F137" s="51"/>
      <c r="G137" s="51"/>
      <c r="H137" s="51"/>
      <c r="I137" s="51"/>
      <c r="J137" s="51"/>
      <c r="K137" s="6"/>
      <c r="L137" s="16"/>
      <c r="M137" s="16"/>
      <c r="N137" s="16"/>
      <c r="O137" s="16"/>
    </row>
    <row r="138" spans="3:15" x14ac:dyDescent="0.25">
      <c r="C138" s="38"/>
      <c r="D138" s="39"/>
      <c r="F138" s="27">
        <v>1</v>
      </c>
      <c r="G138" s="27">
        <v>2</v>
      </c>
      <c r="H138" s="27">
        <v>3</v>
      </c>
      <c r="I138" s="27">
        <v>4</v>
      </c>
      <c r="J138" s="40" t="s">
        <v>136</v>
      </c>
      <c r="K138" s="6"/>
      <c r="L138" s="16"/>
      <c r="M138" s="16"/>
      <c r="N138" s="16"/>
      <c r="O138" s="16"/>
    </row>
    <row r="139" spans="3:15" x14ac:dyDescent="0.25">
      <c r="C139" s="130" t="s">
        <v>370</v>
      </c>
      <c r="D139" s="39">
        <v>1</v>
      </c>
      <c r="E139" s="20" t="s">
        <v>322</v>
      </c>
      <c r="F139" s="35">
        <v>0.81052631578947365</v>
      </c>
      <c r="G139" s="35">
        <v>0.87179487179487181</v>
      </c>
      <c r="H139" s="35">
        <v>0.90990990990990994</v>
      </c>
      <c r="I139" s="35">
        <v>0.85869565217391308</v>
      </c>
      <c r="J139" s="35">
        <v>0.86506024096385548</v>
      </c>
      <c r="K139" s="6"/>
      <c r="L139" s="15">
        <f t="shared" ref="L139:L156" si="53">F139/$J139</f>
        <v>0.93695939011875085</v>
      </c>
      <c r="M139" s="15">
        <f t="shared" ref="M139:M156" si="54">G139/$J139</f>
        <v>1.0077851582029855</v>
      </c>
      <c r="N139" s="15">
        <f t="shared" ref="N139:N156" si="55">H139/$J139</f>
        <v>1.0518457175838791</v>
      </c>
      <c r="O139" s="15">
        <f t="shared" ref="O139:O156" si="56">I139/$J139</f>
        <v>0.9926426062734649</v>
      </c>
    </row>
    <row r="140" spans="3:15" x14ac:dyDescent="0.25">
      <c r="C140" s="131"/>
      <c r="D140" s="39">
        <v>2</v>
      </c>
      <c r="E140" s="20" t="s">
        <v>323</v>
      </c>
      <c r="F140" s="35">
        <v>0.2</v>
      </c>
      <c r="G140" s="35">
        <v>0.17094017094017094</v>
      </c>
      <c r="H140" s="35">
        <v>0.25225225225225223</v>
      </c>
      <c r="I140" s="35">
        <v>0.22826086956521738</v>
      </c>
      <c r="J140" s="35">
        <v>0.21204819277108433</v>
      </c>
      <c r="K140" s="6"/>
      <c r="L140" s="15">
        <f t="shared" si="53"/>
        <v>0.94318181818181823</v>
      </c>
      <c r="M140" s="15">
        <f t="shared" si="54"/>
        <v>0.80613830613830617</v>
      </c>
      <c r="N140" s="15">
        <f t="shared" si="55"/>
        <v>1.1895986895986894</v>
      </c>
      <c r="O140" s="15">
        <f t="shared" si="56"/>
        <v>1.0764575098814229</v>
      </c>
    </row>
    <row r="141" spans="3:15" x14ac:dyDescent="0.25">
      <c r="C141" s="131"/>
      <c r="D141" s="39">
        <v>3</v>
      </c>
      <c r="E141" s="20" t="s">
        <v>324</v>
      </c>
      <c r="F141" s="35">
        <v>0.45263157894736844</v>
      </c>
      <c r="G141" s="35">
        <v>0.47863247863247865</v>
      </c>
      <c r="H141" s="35">
        <v>0.6216216216216216</v>
      </c>
      <c r="I141" s="35">
        <v>0.55434782608695654</v>
      </c>
      <c r="J141" s="35">
        <v>0.52771084337349394</v>
      </c>
      <c r="K141" s="6"/>
      <c r="L141" s="15">
        <f t="shared" si="53"/>
        <v>0.85772650805094941</v>
      </c>
      <c r="M141" s="15">
        <f t="shared" si="54"/>
        <v>0.90699761932638656</v>
      </c>
      <c r="N141" s="15">
        <f t="shared" si="55"/>
        <v>1.1779587806985068</v>
      </c>
      <c r="O141" s="15">
        <f t="shared" si="56"/>
        <v>1.0504764740917214</v>
      </c>
    </row>
    <row r="142" spans="3:15" x14ac:dyDescent="0.25">
      <c r="C142" s="131"/>
      <c r="D142" s="39">
        <v>4</v>
      </c>
      <c r="E142" s="20" t="s">
        <v>325</v>
      </c>
      <c r="F142" s="35">
        <v>0.5368421052631579</v>
      </c>
      <c r="G142" s="35">
        <v>0.60683760683760679</v>
      </c>
      <c r="H142" s="35">
        <v>0.65765765765765771</v>
      </c>
      <c r="I142" s="35">
        <v>0.65217391304347827</v>
      </c>
      <c r="J142" s="35">
        <v>0.61445783132530118</v>
      </c>
      <c r="K142" s="6"/>
      <c r="L142" s="15">
        <f t="shared" si="53"/>
        <v>0.87368421052631584</v>
      </c>
      <c r="M142" s="15">
        <f t="shared" si="54"/>
        <v>0.98759845818669345</v>
      </c>
      <c r="N142" s="15">
        <f t="shared" si="55"/>
        <v>1.0703055997173645</v>
      </c>
      <c r="O142" s="15">
        <f t="shared" si="56"/>
        <v>1.0613810741687979</v>
      </c>
    </row>
    <row r="143" spans="3:15" x14ac:dyDescent="0.25">
      <c r="C143" s="131"/>
      <c r="D143" s="39">
        <v>5</v>
      </c>
      <c r="E143" s="20" t="s">
        <v>326</v>
      </c>
      <c r="F143" s="35">
        <v>0.14736842105263157</v>
      </c>
      <c r="G143" s="35">
        <v>0.12820512820512819</v>
      </c>
      <c r="H143" s="35">
        <v>0.12612612612612611</v>
      </c>
      <c r="I143" s="35">
        <v>0.13043478260869565</v>
      </c>
      <c r="J143" s="35">
        <v>0.13253012048192772</v>
      </c>
      <c r="K143" s="6"/>
      <c r="L143" s="15">
        <f t="shared" si="53"/>
        <v>1.111961722488038</v>
      </c>
      <c r="M143" s="15">
        <f t="shared" si="54"/>
        <v>0.96736596736596725</v>
      </c>
      <c r="N143" s="15">
        <f t="shared" si="55"/>
        <v>0.95167895167895156</v>
      </c>
      <c r="O143" s="15">
        <f t="shared" si="56"/>
        <v>0.98418972332015797</v>
      </c>
    </row>
    <row r="144" spans="3:15" x14ac:dyDescent="0.25">
      <c r="C144" s="131"/>
      <c r="D144" s="39">
        <v>6</v>
      </c>
      <c r="E144" s="20" t="s">
        <v>327</v>
      </c>
      <c r="F144" s="35">
        <v>0.35789473684210527</v>
      </c>
      <c r="G144" s="35">
        <v>0.29914529914529914</v>
      </c>
      <c r="H144" s="35">
        <v>0.45045045045045046</v>
      </c>
      <c r="I144" s="35">
        <v>0.2608695652173913</v>
      </c>
      <c r="J144" s="35">
        <v>0.34457831325301203</v>
      </c>
      <c r="K144" s="6"/>
      <c r="L144" s="15">
        <f t="shared" si="53"/>
        <v>1.0386455649613544</v>
      </c>
      <c r="M144" s="15">
        <f t="shared" si="54"/>
        <v>0.868148945072022</v>
      </c>
      <c r="N144" s="15">
        <f t="shared" si="55"/>
        <v>1.3072513072513074</v>
      </c>
      <c r="O144" s="15">
        <f t="shared" si="56"/>
        <v>0.75706901793858317</v>
      </c>
    </row>
    <row r="145" spans="3:15" x14ac:dyDescent="0.25">
      <c r="C145" s="131"/>
      <c r="D145" s="39">
        <v>7</v>
      </c>
      <c r="E145" s="20" t="s">
        <v>328</v>
      </c>
      <c r="F145" s="35">
        <v>0.17894736842105263</v>
      </c>
      <c r="G145" s="35">
        <v>0.26495726495726496</v>
      </c>
      <c r="H145" s="35">
        <v>0.38738738738738737</v>
      </c>
      <c r="I145" s="35">
        <v>0.25</v>
      </c>
      <c r="J145" s="35">
        <v>0.27469879518072288</v>
      </c>
      <c r="K145" s="6"/>
      <c r="L145" s="15">
        <f t="shared" si="53"/>
        <v>0.65143120960295475</v>
      </c>
      <c r="M145" s="15">
        <f t="shared" si="54"/>
        <v>0.96453741190583298</v>
      </c>
      <c r="N145" s="15">
        <f t="shared" si="55"/>
        <v>1.4102260154891735</v>
      </c>
      <c r="O145" s="15">
        <f t="shared" si="56"/>
        <v>0.91008771929824561</v>
      </c>
    </row>
    <row r="146" spans="3:15" x14ac:dyDescent="0.25">
      <c r="C146" s="131"/>
      <c r="D146" s="39">
        <v>8</v>
      </c>
      <c r="E146" s="20" t="s">
        <v>329</v>
      </c>
      <c r="F146" s="35">
        <v>0.45263157894736844</v>
      </c>
      <c r="G146" s="35">
        <v>0.36752136752136755</v>
      </c>
      <c r="H146" s="35">
        <v>0.49549549549549549</v>
      </c>
      <c r="I146" s="35">
        <v>0.41304347826086957</v>
      </c>
      <c r="J146" s="35">
        <v>0.43132530120481927</v>
      </c>
      <c r="K146" s="6"/>
      <c r="L146" s="15">
        <f t="shared" si="53"/>
        <v>1.0493972361070274</v>
      </c>
      <c r="M146" s="15">
        <f t="shared" si="54"/>
        <v>0.8520746788903214</v>
      </c>
      <c r="N146" s="15">
        <f t="shared" si="55"/>
        <v>1.1487744727968192</v>
      </c>
      <c r="O146" s="15">
        <f t="shared" si="56"/>
        <v>0.95761476803497692</v>
      </c>
    </row>
    <row r="147" spans="3:15" x14ac:dyDescent="0.25">
      <c r="C147" s="131"/>
      <c r="D147" s="39">
        <v>9</v>
      </c>
      <c r="E147" s="20" t="s">
        <v>330</v>
      </c>
      <c r="F147" s="35">
        <v>0.14736842105263157</v>
      </c>
      <c r="G147" s="35">
        <v>0.15384615384615385</v>
      </c>
      <c r="H147" s="35">
        <v>0.25225225225225223</v>
      </c>
      <c r="I147" s="35">
        <v>0.16304347826086957</v>
      </c>
      <c r="J147" s="35">
        <v>0.18072289156626506</v>
      </c>
      <c r="K147" s="6"/>
      <c r="L147" s="15">
        <f t="shared" si="53"/>
        <v>0.81543859649122796</v>
      </c>
      <c r="M147" s="15">
        <f t="shared" si="54"/>
        <v>0.85128205128205137</v>
      </c>
      <c r="N147" s="15">
        <f t="shared" si="55"/>
        <v>1.3957957957957956</v>
      </c>
      <c r="O147" s="15">
        <f t="shared" si="56"/>
        <v>0.90217391304347827</v>
      </c>
    </row>
    <row r="148" spans="3:15" x14ac:dyDescent="0.25">
      <c r="C148" s="131"/>
      <c r="D148" s="39">
        <v>10</v>
      </c>
      <c r="E148" s="20" t="s">
        <v>331</v>
      </c>
      <c r="F148" s="35">
        <v>0.38947368421052631</v>
      </c>
      <c r="G148" s="35">
        <v>0.35897435897435898</v>
      </c>
      <c r="H148" s="35">
        <v>0.36036036036036034</v>
      </c>
      <c r="I148" s="35">
        <v>0.41304347826086957</v>
      </c>
      <c r="J148" s="35">
        <v>0.37831325301204821</v>
      </c>
      <c r="K148" s="6"/>
      <c r="L148" s="15">
        <f t="shared" si="53"/>
        <v>1.0295005028494804</v>
      </c>
      <c r="M148" s="15">
        <f t="shared" si="54"/>
        <v>0.94888126735260492</v>
      </c>
      <c r="N148" s="15">
        <f t="shared" si="55"/>
        <v>0.95254490158948746</v>
      </c>
      <c r="O148" s="15">
        <f t="shared" si="56"/>
        <v>1.0918028247022984</v>
      </c>
    </row>
    <row r="149" spans="3:15" x14ac:dyDescent="0.25">
      <c r="C149" s="131"/>
      <c r="D149" s="39">
        <v>11</v>
      </c>
      <c r="E149" s="20" t="s">
        <v>332</v>
      </c>
      <c r="F149" s="35">
        <v>5.2631578947368418E-2</v>
      </c>
      <c r="G149" s="35">
        <v>0.15384615384615385</v>
      </c>
      <c r="H149" s="35">
        <v>0.15315315315315314</v>
      </c>
      <c r="I149" s="35">
        <v>0.14130434782608695</v>
      </c>
      <c r="J149" s="35">
        <v>0.12771084337349398</v>
      </c>
      <c r="K149" s="6"/>
      <c r="L149" s="15">
        <f t="shared" si="53"/>
        <v>0.41211519364448856</v>
      </c>
      <c r="M149" s="15">
        <f t="shared" si="54"/>
        <v>1.204644412191582</v>
      </c>
      <c r="N149" s="15">
        <f t="shared" si="55"/>
        <v>1.1992180860105388</v>
      </c>
      <c r="O149" s="15">
        <f t="shared" si="56"/>
        <v>1.1064397046759638</v>
      </c>
    </row>
    <row r="150" spans="3:15" x14ac:dyDescent="0.25">
      <c r="C150" s="131"/>
      <c r="D150" s="39">
        <v>12</v>
      </c>
      <c r="E150" s="20" t="s">
        <v>333</v>
      </c>
      <c r="F150" s="35">
        <v>0.4</v>
      </c>
      <c r="G150" s="35">
        <v>0.36752136752136755</v>
      </c>
      <c r="H150" s="35">
        <v>0.4144144144144144</v>
      </c>
      <c r="I150" s="35">
        <v>0.27173913043478259</v>
      </c>
      <c r="J150" s="35">
        <v>0.36626506024096384</v>
      </c>
      <c r="K150" s="6"/>
      <c r="L150" s="15">
        <f t="shared" si="53"/>
        <v>1.0921052631578949</v>
      </c>
      <c r="M150" s="15">
        <f t="shared" si="54"/>
        <v>1.0034300494826811</v>
      </c>
      <c r="N150" s="15">
        <f t="shared" si="55"/>
        <v>1.1314604077761972</v>
      </c>
      <c r="O150" s="15">
        <f t="shared" si="56"/>
        <v>0.74191933638443941</v>
      </c>
    </row>
    <row r="151" spans="3:15" x14ac:dyDescent="0.25">
      <c r="C151" s="131"/>
      <c r="D151" s="39">
        <v>13</v>
      </c>
      <c r="E151" s="20" t="s">
        <v>334</v>
      </c>
      <c r="F151" s="35">
        <v>0.21052631578947367</v>
      </c>
      <c r="G151" s="35">
        <v>0.17948717948717949</v>
      </c>
      <c r="H151" s="35">
        <v>0.21621621621621623</v>
      </c>
      <c r="I151" s="35">
        <v>0.11956521739130435</v>
      </c>
      <c r="J151" s="35">
        <v>0.18313253012048192</v>
      </c>
      <c r="K151" s="6"/>
      <c r="L151" s="15">
        <f t="shared" si="53"/>
        <v>1.1495844875346259</v>
      </c>
      <c r="M151" s="15">
        <f t="shared" si="54"/>
        <v>0.98009446693657221</v>
      </c>
      <c r="N151" s="15">
        <f t="shared" si="55"/>
        <v>1.1806543385490755</v>
      </c>
      <c r="O151" s="15">
        <f t="shared" si="56"/>
        <v>0.65288901601830673</v>
      </c>
    </row>
    <row r="152" spans="3:15" x14ac:dyDescent="0.25">
      <c r="C152" s="131"/>
      <c r="D152" s="39">
        <v>14</v>
      </c>
      <c r="E152" s="20" t="s">
        <v>335</v>
      </c>
      <c r="F152" s="35">
        <v>6.3157894736842107E-2</v>
      </c>
      <c r="G152" s="35">
        <v>8.5470085470085472E-2</v>
      </c>
      <c r="H152" s="35">
        <v>0.10810810810810811</v>
      </c>
      <c r="I152" s="35">
        <v>5.434782608695652E-2</v>
      </c>
      <c r="J152" s="35">
        <v>7.9518072289156624E-2</v>
      </c>
      <c r="K152" s="6"/>
      <c r="L152" s="15">
        <f t="shared" si="53"/>
        <v>0.79425837320574166</v>
      </c>
      <c r="M152" s="15">
        <f t="shared" si="54"/>
        <v>1.0748510748510749</v>
      </c>
      <c r="N152" s="15">
        <f t="shared" si="55"/>
        <v>1.3595413595413597</v>
      </c>
      <c r="O152" s="15">
        <f t="shared" si="56"/>
        <v>0.68346508563899866</v>
      </c>
    </row>
    <row r="153" spans="3:15" x14ac:dyDescent="0.25">
      <c r="C153" s="131"/>
      <c r="D153" s="39">
        <v>15</v>
      </c>
      <c r="E153" s="20" t="s">
        <v>336</v>
      </c>
      <c r="F153" s="35">
        <v>9.4736842105263161E-2</v>
      </c>
      <c r="G153" s="35">
        <v>9.4017094017094016E-2</v>
      </c>
      <c r="H153" s="35">
        <v>0.18018018018018017</v>
      </c>
      <c r="I153" s="35">
        <v>5.434782608695652E-2</v>
      </c>
      <c r="J153" s="35">
        <v>0.10843373493975904</v>
      </c>
      <c r="K153" s="6"/>
      <c r="L153" s="15">
        <f t="shared" si="53"/>
        <v>0.87368421052631584</v>
      </c>
      <c r="M153" s="15">
        <f t="shared" si="54"/>
        <v>0.8670465337132004</v>
      </c>
      <c r="N153" s="15">
        <f t="shared" si="55"/>
        <v>1.6616616616616615</v>
      </c>
      <c r="O153" s="15">
        <f t="shared" si="56"/>
        <v>0.50120772946859904</v>
      </c>
    </row>
    <row r="154" spans="3:15" x14ac:dyDescent="0.25">
      <c r="C154" s="131"/>
      <c r="D154" s="39">
        <v>16</v>
      </c>
      <c r="E154" s="20" t="s">
        <v>337</v>
      </c>
      <c r="F154" s="35">
        <v>8.4210526315789472E-2</v>
      </c>
      <c r="G154" s="35">
        <v>0.13675213675213677</v>
      </c>
      <c r="H154" s="35">
        <v>0.18018018018018017</v>
      </c>
      <c r="I154" s="35">
        <v>0.13043478260869565</v>
      </c>
      <c r="J154" s="35">
        <v>0.13493975903614458</v>
      </c>
      <c r="K154" s="6"/>
      <c r="L154" s="15">
        <f t="shared" si="53"/>
        <v>0.62406015037593987</v>
      </c>
      <c r="M154" s="15">
        <f t="shared" si="54"/>
        <v>1.0134310134310136</v>
      </c>
      <c r="N154" s="15">
        <f t="shared" si="55"/>
        <v>1.3352638352638353</v>
      </c>
      <c r="O154" s="15">
        <f t="shared" si="56"/>
        <v>0.96661490683229812</v>
      </c>
    </row>
    <row r="155" spans="3:15" x14ac:dyDescent="0.25">
      <c r="C155" s="131"/>
      <c r="D155" s="39">
        <v>17</v>
      </c>
      <c r="E155" s="20" t="s">
        <v>338</v>
      </c>
      <c r="F155" s="35">
        <v>1.0526315789473684E-2</v>
      </c>
      <c r="G155" s="35">
        <v>3.4188034188034191E-2</v>
      </c>
      <c r="H155" s="35">
        <v>0.14414414414414414</v>
      </c>
      <c r="I155" s="35">
        <v>2.1739130434782608E-2</v>
      </c>
      <c r="J155" s="35">
        <v>5.5421686746987948E-2</v>
      </c>
      <c r="K155" s="6"/>
      <c r="L155" s="15">
        <f t="shared" si="53"/>
        <v>0.18993135011441648</v>
      </c>
      <c r="M155" s="15">
        <f t="shared" si="54"/>
        <v>0.61687105165366041</v>
      </c>
      <c r="N155" s="15">
        <f t="shared" si="55"/>
        <v>2.6008617312965141</v>
      </c>
      <c r="O155" s="15">
        <f t="shared" si="56"/>
        <v>0.39224952741020797</v>
      </c>
    </row>
    <row r="156" spans="3:15" x14ac:dyDescent="0.25">
      <c r="C156" s="132"/>
      <c r="D156" s="39">
        <v>18</v>
      </c>
      <c r="E156" s="20" t="s">
        <v>339</v>
      </c>
      <c r="F156" s="35">
        <v>3.1578947368421054E-2</v>
      </c>
      <c r="G156" s="35">
        <v>0.10256410256410256</v>
      </c>
      <c r="H156" s="35">
        <v>9.90990990990991E-2</v>
      </c>
      <c r="I156" s="35">
        <v>5.434782608695652E-2</v>
      </c>
      <c r="J156" s="35">
        <v>7.4698795180722893E-2</v>
      </c>
      <c r="K156" s="6"/>
      <c r="L156" s="15">
        <f t="shared" si="53"/>
        <v>0.42275042444821731</v>
      </c>
      <c r="M156" s="15">
        <f t="shared" si="54"/>
        <v>1.3730355665839535</v>
      </c>
      <c r="N156" s="15">
        <f t="shared" si="55"/>
        <v>1.3266492298750363</v>
      </c>
      <c r="O156" s="15">
        <f t="shared" si="56"/>
        <v>0.72755960729312763</v>
      </c>
    </row>
    <row r="158" spans="3:15" x14ac:dyDescent="0.25">
      <c r="D158" s="39"/>
      <c r="F158" s="27">
        <v>1</v>
      </c>
      <c r="G158" s="27">
        <v>2</v>
      </c>
      <c r="H158" s="27">
        <v>3</v>
      </c>
      <c r="I158" s="27">
        <v>4</v>
      </c>
      <c r="J158" s="40" t="s">
        <v>136</v>
      </c>
      <c r="K158" s="6"/>
    </row>
    <row r="159" spans="3:15" x14ac:dyDescent="0.25">
      <c r="C159" s="128" t="s">
        <v>371</v>
      </c>
      <c r="D159" s="39">
        <v>1</v>
      </c>
      <c r="E159" s="67" t="s">
        <v>236</v>
      </c>
      <c r="F159" s="65">
        <v>0.16842105263157894</v>
      </c>
      <c r="G159" s="46">
        <v>0.1623931623931624</v>
      </c>
      <c r="H159" s="46">
        <v>0.17117117117117117</v>
      </c>
      <c r="I159" s="46">
        <v>8.6956521739130432E-2</v>
      </c>
      <c r="J159" s="46">
        <v>0.14939759036144579</v>
      </c>
      <c r="K159" s="6"/>
      <c r="L159" s="15">
        <f t="shared" ref="L159:O165" si="57">F159/$J159</f>
        <v>1.1273344651952462</v>
      </c>
      <c r="M159" s="15">
        <f t="shared" si="57"/>
        <v>1.0869864902122968</v>
      </c>
      <c r="N159" s="15">
        <f t="shared" si="57"/>
        <v>1.1457425167102586</v>
      </c>
      <c r="O159" s="15">
        <f t="shared" si="57"/>
        <v>0.58204768583450206</v>
      </c>
    </row>
    <row r="160" spans="3:15" x14ac:dyDescent="0.25">
      <c r="C160" s="129"/>
      <c r="D160" s="39">
        <v>2</v>
      </c>
      <c r="E160" s="68" t="s">
        <v>236</v>
      </c>
      <c r="F160" s="65">
        <v>2.1052631578947368E-2</v>
      </c>
      <c r="G160" s="46">
        <v>6.8376068376068383E-2</v>
      </c>
      <c r="H160" s="46">
        <v>5.4054054054054057E-2</v>
      </c>
      <c r="I160" s="46">
        <v>3.2608695652173912E-2</v>
      </c>
      <c r="J160" s="46">
        <v>4.5783132530120479E-2</v>
      </c>
      <c r="K160" s="6"/>
      <c r="L160" s="15">
        <f t="shared" si="57"/>
        <v>0.45983379501385041</v>
      </c>
      <c r="M160" s="15">
        <f t="shared" si="57"/>
        <v>1.4934772829509675</v>
      </c>
      <c r="N160" s="15">
        <f t="shared" si="57"/>
        <v>1.1806543385490755</v>
      </c>
      <c r="O160" s="15">
        <f t="shared" si="57"/>
        <v>0.71224256292906185</v>
      </c>
    </row>
    <row r="161" spans="3:15" x14ac:dyDescent="0.25">
      <c r="C161" s="129"/>
      <c r="D161" s="39">
        <v>3</v>
      </c>
      <c r="E161" s="68" t="s">
        <v>236</v>
      </c>
      <c r="F161" s="65">
        <v>5.2631578947368418E-2</v>
      </c>
      <c r="G161" s="46">
        <v>7.6923076923076927E-2</v>
      </c>
      <c r="H161" s="46">
        <v>0.1891891891891892</v>
      </c>
      <c r="I161" s="46">
        <v>0.21739130434782608</v>
      </c>
      <c r="J161" s="46">
        <v>0.13253012048192772</v>
      </c>
      <c r="K161" s="6"/>
      <c r="L161" s="15">
        <f t="shared" si="57"/>
        <v>0.39712918660287078</v>
      </c>
      <c r="M161" s="15">
        <f t="shared" si="57"/>
        <v>0.58041958041958042</v>
      </c>
      <c r="N161" s="15">
        <f t="shared" si="57"/>
        <v>1.4275184275184274</v>
      </c>
      <c r="O161" s="15">
        <f t="shared" si="57"/>
        <v>1.6403162055335967</v>
      </c>
    </row>
    <row r="162" spans="3:15" x14ac:dyDescent="0.25">
      <c r="C162" s="129"/>
      <c r="D162" s="39">
        <v>4</v>
      </c>
      <c r="E162" s="68" t="s">
        <v>236</v>
      </c>
      <c r="F162" s="65">
        <v>5.2631578947368418E-2</v>
      </c>
      <c r="G162" s="46">
        <v>7.6923076923076927E-2</v>
      </c>
      <c r="H162" s="46">
        <v>0.13513513513513514</v>
      </c>
      <c r="I162" s="46">
        <v>0.22826086956521738</v>
      </c>
      <c r="J162" s="46">
        <v>0.12048192771084337</v>
      </c>
      <c r="K162" s="6"/>
      <c r="L162" s="15">
        <f t="shared" si="57"/>
        <v>0.43684210526315786</v>
      </c>
      <c r="M162" s="15">
        <f t="shared" si="57"/>
        <v>0.63846153846153852</v>
      </c>
      <c r="N162" s="15">
        <f t="shared" si="57"/>
        <v>1.1216216216216217</v>
      </c>
      <c r="O162" s="15">
        <f t="shared" si="57"/>
        <v>1.8945652173913043</v>
      </c>
    </row>
    <row r="163" spans="3:15" x14ac:dyDescent="0.25">
      <c r="C163" s="129"/>
      <c r="D163" s="39">
        <v>5</v>
      </c>
      <c r="E163" s="68" t="s">
        <v>236</v>
      </c>
      <c r="F163" s="65">
        <v>0.22105263157894736</v>
      </c>
      <c r="G163" s="46">
        <v>0.19658119658119658</v>
      </c>
      <c r="H163" s="46">
        <v>9.0090090090090086E-2</v>
      </c>
      <c r="I163" s="46">
        <v>6.5217391304347824E-2</v>
      </c>
      <c r="J163" s="46">
        <v>0.14457831325301204</v>
      </c>
      <c r="K163" s="6"/>
      <c r="L163" s="15">
        <f t="shared" si="57"/>
        <v>1.5289473684210526</v>
      </c>
      <c r="M163" s="15">
        <f t="shared" si="57"/>
        <v>1.3596866096866098</v>
      </c>
      <c r="N163" s="15">
        <f t="shared" si="57"/>
        <v>0.62312312312312312</v>
      </c>
      <c r="O163" s="15">
        <f t="shared" si="57"/>
        <v>0.45108695652173914</v>
      </c>
    </row>
    <row r="164" spans="3:15" x14ac:dyDescent="0.25">
      <c r="C164" s="129"/>
      <c r="D164" s="39">
        <v>6</v>
      </c>
      <c r="E164" s="68" t="s">
        <v>236</v>
      </c>
      <c r="F164" s="65">
        <v>3.1578947368421054E-2</v>
      </c>
      <c r="G164" s="46">
        <v>9.4017094017094016E-2</v>
      </c>
      <c r="H164" s="46">
        <v>0.15315315315315314</v>
      </c>
      <c r="I164" s="46">
        <v>0.14130434782608695</v>
      </c>
      <c r="J164" s="46">
        <v>0.10602409638554217</v>
      </c>
      <c r="K164" s="6"/>
      <c r="L164" s="15">
        <f t="shared" si="57"/>
        <v>0.29784688995215314</v>
      </c>
      <c r="M164" s="15">
        <f t="shared" si="57"/>
        <v>0.88675213675213682</v>
      </c>
      <c r="N164" s="15">
        <f t="shared" si="57"/>
        <v>1.4445126945126945</v>
      </c>
      <c r="O164" s="15">
        <f t="shared" si="57"/>
        <v>1.3327569169960474</v>
      </c>
    </row>
    <row r="165" spans="3:15" x14ac:dyDescent="0.25">
      <c r="C165" s="129"/>
      <c r="D165" s="39">
        <v>7</v>
      </c>
      <c r="E165" s="68" t="s">
        <v>236</v>
      </c>
      <c r="F165" s="65">
        <v>0.10526315789473684</v>
      </c>
      <c r="G165" s="46">
        <v>6.8376068376068383E-2</v>
      </c>
      <c r="H165" s="46">
        <v>4.5045045045045043E-2</v>
      </c>
      <c r="I165" s="46">
        <v>9.7826086956521743E-2</v>
      </c>
      <c r="J165" s="46">
        <v>7.7108433734939766E-2</v>
      </c>
      <c r="K165" s="6"/>
      <c r="L165" s="15">
        <f t="shared" si="57"/>
        <v>1.3651315789473681</v>
      </c>
      <c r="M165" s="15">
        <f t="shared" si="57"/>
        <v>0.88675213675213671</v>
      </c>
      <c r="N165" s="15">
        <f t="shared" si="57"/>
        <v>0.58417792792792789</v>
      </c>
      <c r="O165" s="15">
        <f t="shared" si="57"/>
        <v>1.2686820652173914</v>
      </c>
    </row>
    <row r="166" spans="3:15" x14ac:dyDescent="0.25">
      <c r="C166" s="129"/>
      <c r="D166" s="39">
        <v>8</v>
      </c>
      <c r="E166" s="68" t="s">
        <v>236</v>
      </c>
      <c r="F166" s="65">
        <v>0.17894736842105263</v>
      </c>
      <c r="G166" s="46">
        <v>0.11965811965811966</v>
      </c>
      <c r="H166" s="46">
        <v>1.8018018018018018E-2</v>
      </c>
      <c r="I166" s="46">
        <v>5.434782608695652E-2</v>
      </c>
      <c r="J166" s="46">
        <v>9.1566265060240959E-2</v>
      </c>
      <c r="K166" s="6"/>
      <c r="L166" s="15">
        <f t="shared" ref="L166:L180" si="58">F166/$J166</f>
        <v>1.9542936288088644</v>
      </c>
      <c r="M166" s="15">
        <f t="shared" ref="M166:M180" si="59">G166/$J166</f>
        <v>1.3067926225820965</v>
      </c>
      <c r="N166" s="15">
        <f t="shared" ref="N166:N180" si="60">H166/$J166</f>
        <v>0.19677572309151256</v>
      </c>
      <c r="O166" s="15">
        <f t="shared" ref="O166:O180" si="61">I166/$J166</f>
        <v>0.59353546910755151</v>
      </c>
    </row>
    <row r="167" spans="3:15" x14ac:dyDescent="0.25">
      <c r="C167" s="129"/>
      <c r="D167" s="39">
        <v>9</v>
      </c>
      <c r="E167" s="68" t="s">
        <v>236</v>
      </c>
      <c r="F167" s="65">
        <v>7.3684210526315783E-2</v>
      </c>
      <c r="G167" s="46">
        <v>6.8376068376068383E-2</v>
      </c>
      <c r="H167" s="46">
        <v>8.1081081081081086E-2</v>
      </c>
      <c r="I167" s="46">
        <v>2.1739130434782608E-2</v>
      </c>
      <c r="J167" s="46">
        <v>6.2650602409638559E-2</v>
      </c>
      <c r="K167" s="6"/>
      <c r="L167" s="15">
        <f t="shared" si="58"/>
        <v>1.1761133603238865</v>
      </c>
      <c r="M167" s="15">
        <f t="shared" si="59"/>
        <v>1.091387245233399</v>
      </c>
      <c r="N167" s="15">
        <f t="shared" si="60"/>
        <v>1.2941787941787941</v>
      </c>
      <c r="O167" s="15">
        <f t="shared" si="61"/>
        <v>0.34698996655518394</v>
      </c>
    </row>
    <row r="168" spans="3:15" x14ac:dyDescent="0.25">
      <c r="C168" s="129"/>
      <c r="D168" s="39">
        <v>10</v>
      </c>
      <c r="E168" s="68" t="s">
        <v>236</v>
      </c>
      <c r="F168" s="65">
        <v>9.4736842105263161E-2</v>
      </c>
      <c r="G168" s="46">
        <v>6.8376068376068383E-2</v>
      </c>
      <c r="H168" s="46">
        <v>6.3063063063063057E-2</v>
      </c>
      <c r="I168" s="46">
        <v>5.434782608695652E-2</v>
      </c>
      <c r="J168" s="46">
        <v>6.9879518072289162E-2</v>
      </c>
      <c r="K168" s="6"/>
      <c r="L168" s="15">
        <f t="shared" si="58"/>
        <v>1.3557168784029037</v>
      </c>
      <c r="M168" s="15">
        <f t="shared" si="59"/>
        <v>0.97848511641615088</v>
      </c>
      <c r="N168" s="15">
        <f t="shared" si="60"/>
        <v>0.90245417831624708</v>
      </c>
      <c r="O168" s="15">
        <f t="shared" si="61"/>
        <v>0.7777361319340329</v>
      </c>
    </row>
    <row r="169" spans="3:15" x14ac:dyDescent="0.25">
      <c r="C169" s="129"/>
      <c r="D169" s="39">
        <v>1</v>
      </c>
      <c r="E169" s="67" t="s">
        <v>237</v>
      </c>
      <c r="F169" s="65">
        <v>7.3684210526315783E-2</v>
      </c>
      <c r="G169" s="46">
        <v>0.10256410256410256</v>
      </c>
      <c r="H169" s="46">
        <v>3.6036036036036036E-2</v>
      </c>
      <c r="I169" s="46">
        <v>3.2608695652173912E-2</v>
      </c>
      <c r="J169" s="46">
        <v>6.2650602409638559E-2</v>
      </c>
      <c r="K169" s="6"/>
      <c r="L169" s="15">
        <f t="shared" si="58"/>
        <v>1.1761133603238865</v>
      </c>
      <c r="M169" s="15">
        <f t="shared" si="59"/>
        <v>1.6370808678500985</v>
      </c>
      <c r="N169" s="15">
        <f t="shared" si="60"/>
        <v>0.57519057519057515</v>
      </c>
      <c r="O169" s="15">
        <f t="shared" si="61"/>
        <v>0.52048494983277582</v>
      </c>
    </row>
    <row r="170" spans="3:15" x14ac:dyDescent="0.25">
      <c r="C170" s="129"/>
      <c r="D170" s="39">
        <v>2</v>
      </c>
      <c r="E170" s="68" t="s">
        <v>237</v>
      </c>
      <c r="F170" s="46">
        <v>0.11578947368421053</v>
      </c>
      <c r="G170" s="46">
        <v>5.128205128205128E-2</v>
      </c>
      <c r="H170" s="46">
        <v>6.3063063063063057E-2</v>
      </c>
      <c r="I170" s="46">
        <v>0.13043478260869565</v>
      </c>
      <c r="J170" s="46">
        <v>8.6746987951807228E-2</v>
      </c>
      <c r="K170" s="6"/>
      <c r="L170" s="15">
        <f t="shared" si="58"/>
        <v>1.3347953216374269</v>
      </c>
      <c r="M170" s="15">
        <f t="shared" si="59"/>
        <v>0.5911680911680911</v>
      </c>
      <c r="N170" s="15">
        <f t="shared" si="60"/>
        <v>0.72697697697697694</v>
      </c>
      <c r="O170" s="15">
        <f t="shared" si="61"/>
        <v>1.5036231884057971</v>
      </c>
    </row>
    <row r="171" spans="3:15" x14ac:dyDescent="0.25">
      <c r="C171" s="129"/>
      <c r="D171" s="39">
        <v>3</v>
      </c>
      <c r="E171" s="68" t="s">
        <v>237</v>
      </c>
      <c r="F171" s="46">
        <v>0.11578947368421053</v>
      </c>
      <c r="G171" s="46">
        <v>0.1111111111111111</v>
      </c>
      <c r="H171" s="46">
        <v>9.0090090090090089E-3</v>
      </c>
      <c r="I171" s="46">
        <v>7.6086956521739135E-2</v>
      </c>
      <c r="J171" s="46">
        <v>7.7108433734939766E-2</v>
      </c>
      <c r="K171" s="6"/>
      <c r="L171" s="15">
        <f t="shared" si="58"/>
        <v>1.5016447368421051</v>
      </c>
      <c r="M171" s="15">
        <f t="shared" si="59"/>
        <v>1.4409722222222221</v>
      </c>
      <c r="N171" s="15">
        <f t="shared" si="60"/>
        <v>0.11683558558558557</v>
      </c>
      <c r="O171" s="15">
        <f t="shared" si="61"/>
        <v>0.98675271739130432</v>
      </c>
    </row>
    <row r="172" spans="3:15" x14ac:dyDescent="0.25">
      <c r="C172" s="129"/>
      <c r="D172" s="39">
        <v>4</v>
      </c>
      <c r="E172" s="68" t="s">
        <v>237</v>
      </c>
      <c r="F172" s="46">
        <v>8.4210526315789472E-2</v>
      </c>
      <c r="G172" s="46">
        <v>0.15384615384615385</v>
      </c>
      <c r="H172" s="46">
        <v>7.2072072072072071E-2</v>
      </c>
      <c r="I172" s="46">
        <v>4.3478260869565216E-2</v>
      </c>
      <c r="J172" s="46">
        <v>9.1566265060240959E-2</v>
      </c>
      <c r="K172" s="6"/>
      <c r="L172" s="15">
        <f t="shared" si="58"/>
        <v>0.91966759002770082</v>
      </c>
      <c r="M172" s="15">
        <f t="shared" si="59"/>
        <v>1.6801619433198383</v>
      </c>
      <c r="N172" s="15">
        <f t="shared" si="60"/>
        <v>0.78710289236605024</v>
      </c>
      <c r="O172" s="15">
        <f t="shared" si="61"/>
        <v>0.47482837528604122</v>
      </c>
    </row>
    <row r="173" spans="3:15" x14ac:dyDescent="0.25">
      <c r="C173" s="129"/>
      <c r="D173" s="39">
        <v>5</v>
      </c>
      <c r="E173" s="68" t="s">
        <v>237</v>
      </c>
      <c r="F173" s="46">
        <v>7.3684210526315783E-2</v>
      </c>
      <c r="G173" s="46">
        <v>0.1111111111111111</v>
      </c>
      <c r="H173" s="46">
        <v>8.1081081081081086E-2</v>
      </c>
      <c r="I173" s="46">
        <v>9.7826086956521743E-2</v>
      </c>
      <c r="J173" s="46">
        <v>9.1566265060240959E-2</v>
      </c>
      <c r="K173" s="6"/>
      <c r="L173" s="15">
        <f t="shared" si="58"/>
        <v>0.8047091412742382</v>
      </c>
      <c r="M173" s="15">
        <f t="shared" si="59"/>
        <v>1.2134502923976609</v>
      </c>
      <c r="N173" s="15">
        <f t="shared" si="60"/>
        <v>0.88549075391180665</v>
      </c>
      <c r="O173" s="15">
        <f t="shared" si="61"/>
        <v>1.0683638443935928</v>
      </c>
    </row>
    <row r="174" spans="3:15" x14ac:dyDescent="0.25">
      <c r="C174" s="129"/>
      <c r="D174" s="39">
        <v>6</v>
      </c>
      <c r="E174" s="68" t="s">
        <v>237</v>
      </c>
      <c r="F174" s="46">
        <v>0.2</v>
      </c>
      <c r="G174" s="46">
        <v>8.5470085470085472E-2</v>
      </c>
      <c r="H174" s="46">
        <v>4.5045045045045043E-2</v>
      </c>
      <c r="I174" s="46">
        <v>6.5217391304347824E-2</v>
      </c>
      <c r="J174" s="46">
        <v>9.6385542168674704E-2</v>
      </c>
      <c r="K174" s="6"/>
      <c r="L174" s="15">
        <f t="shared" si="58"/>
        <v>2.0750000000000002</v>
      </c>
      <c r="M174" s="15">
        <f t="shared" si="59"/>
        <v>0.88675213675213671</v>
      </c>
      <c r="N174" s="15">
        <f t="shared" si="60"/>
        <v>0.46734234234234229</v>
      </c>
      <c r="O174" s="15">
        <f t="shared" si="61"/>
        <v>0.67663043478260865</v>
      </c>
    </row>
    <row r="175" spans="3:15" x14ac:dyDescent="0.25">
      <c r="C175" s="129"/>
      <c r="D175" s="39">
        <v>7</v>
      </c>
      <c r="E175" s="68" t="s">
        <v>237</v>
      </c>
      <c r="F175" s="46">
        <v>0.12631578947368421</v>
      </c>
      <c r="G175" s="46">
        <v>0.10256410256410256</v>
      </c>
      <c r="H175" s="46">
        <v>0.12612612612612611</v>
      </c>
      <c r="I175" s="46">
        <v>8.6956521739130432E-2</v>
      </c>
      <c r="J175" s="46">
        <v>0.1108433734939759</v>
      </c>
      <c r="K175" s="6"/>
      <c r="L175" s="15">
        <f t="shared" si="58"/>
        <v>1.139588100686499</v>
      </c>
      <c r="M175" s="15">
        <f t="shared" si="59"/>
        <v>0.9253065774804905</v>
      </c>
      <c r="N175" s="15">
        <f t="shared" si="60"/>
        <v>1.1378770074422249</v>
      </c>
      <c r="O175" s="15">
        <f t="shared" si="61"/>
        <v>0.78449905482041593</v>
      </c>
    </row>
    <row r="176" spans="3:15" x14ac:dyDescent="0.25">
      <c r="C176" s="129"/>
      <c r="D176" s="39">
        <v>8</v>
      </c>
      <c r="E176" s="68" t="s">
        <v>237</v>
      </c>
      <c r="F176" s="46">
        <v>9.4736842105263161E-2</v>
      </c>
      <c r="G176" s="46">
        <v>0.13675213675213677</v>
      </c>
      <c r="H176" s="46">
        <v>0.11711711711711711</v>
      </c>
      <c r="I176" s="46">
        <v>0.10869565217391304</v>
      </c>
      <c r="J176" s="46">
        <v>0.11566265060240964</v>
      </c>
      <c r="K176" s="6"/>
      <c r="L176" s="15">
        <f t="shared" si="58"/>
        <v>0.81907894736842102</v>
      </c>
      <c r="M176" s="15">
        <f t="shared" si="59"/>
        <v>1.1823361823361824</v>
      </c>
      <c r="N176" s="15">
        <f t="shared" si="60"/>
        <v>1.012575075075075</v>
      </c>
      <c r="O176" s="15">
        <f t="shared" si="61"/>
        <v>0.93976449275362317</v>
      </c>
    </row>
    <row r="177" spans="3:15" x14ac:dyDescent="0.25">
      <c r="C177" s="63"/>
      <c r="D177" s="39">
        <v>9</v>
      </c>
      <c r="E177" s="68" t="s">
        <v>237</v>
      </c>
      <c r="F177" s="46">
        <v>3.1578947368421054E-2</v>
      </c>
      <c r="G177" s="46">
        <v>4.2735042735042736E-2</v>
      </c>
      <c r="H177" s="46">
        <v>0.24324324324324326</v>
      </c>
      <c r="I177" s="46">
        <v>0.2391304347826087</v>
      </c>
      <c r="J177" s="46">
        <v>0.13734939759036144</v>
      </c>
      <c r="K177" s="6"/>
      <c r="L177" s="15">
        <f t="shared" si="58"/>
        <v>0.22991689750692523</v>
      </c>
      <c r="M177" s="15">
        <f t="shared" si="59"/>
        <v>0.31114110061478484</v>
      </c>
      <c r="N177" s="15">
        <f t="shared" si="60"/>
        <v>1.7709815078236133</v>
      </c>
      <c r="O177" s="15">
        <f t="shared" si="61"/>
        <v>1.7410373760488178</v>
      </c>
    </row>
    <row r="178" spans="3:15" x14ac:dyDescent="0.25">
      <c r="C178" s="63"/>
      <c r="D178" s="39">
        <v>10</v>
      </c>
      <c r="E178" s="68" t="s">
        <v>237</v>
      </c>
      <c r="F178" s="46">
        <v>8.4210526315789472E-2</v>
      </c>
      <c r="G178" s="46">
        <v>0.10256410256410256</v>
      </c>
      <c r="H178" s="46">
        <v>0.2072072072072072</v>
      </c>
      <c r="I178" s="46">
        <v>0.11956521739130435</v>
      </c>
      <c r="J178" s="46">
        <v>0.13012048192771083</v>
      </c>
      <c r="K178" s="6"/>
      <c r="L178" s="15">
        <f t="shared" si="58"/>
        <v>0.64717348927875251</v>
      </c>
      <c r="M178" s="15">
        <f t="shared" si="59"/>
        <v>0.78822412155745492</v>
      </c>
      <c r="N178" s="15">
        <f t="shared" si="60"/>
        <v>1.5924257590924258</v>
      </c>
      <c r="O178" s="15">
        <f t="shared" si="61"/>
        <v>0.91888083735909831</v>
      </c>
    </row>
    <row r="179" spans="3:15" x14ac:dyDescent="0.25">
      <c r="C179" s="63"/>
      <c r="D179" s="39">
        <v>1</v>
      </c>
      <c r="E179" s="67" t="s">
        <v>238</v>
      </c>
      <c r="F179" s="46">
        <v>0.11578947368421053</v>
      </c>
      <c r="G179" s="46">
        <v>0.1111111111111111</v>
      </c>
      <c r="H179" s="46">
        <v>4.5045045045045043E-2</v>
      </c>
      <c r="I179" s="46">
        <v>9.7826086956521743E-2</v>
      </c>
      <c r="J179" s="46">
        <v>9.1566265060240959E-2</v>
      </c>
      <c r="K179" s="6"/>
      <c r="L179" s="15">
        <f t="shared" si="58"/>
        <v>1.2645429362880887</v>
      </c>
      <c r="M179" s="15">
        <f t="shared" si="59"/>
        <v>1.2134502923976609</v>
      </c>
      <c r="N179" s="15">
        <f t="shared" si="60"/>
        <v>0.49193930772878142</v>
      </c>
      <c r="O179" s="15">
        <f t="shared" si="61"/>
        <v>1.0683638443935928</v>
      </c>
    </row>
    <row r="180" spans="3:15" x14ac:dyDescent="0.25">
      <c r="C180" s="63"/>
      <c r="D180" s="39">
        <v>2</v>
      </c>
      <c r="E180" s="68" t="s">
        <v>238</v>
      </c>
      <c r="F180" s="46">
        <v>9.4736842105263161E-2</v>
      </c>
      <c r="G180" s="46">
        <v>0.21367521367521367</v>
      </c>
      <c r="H180" s="46">
        <v>0.23423423423423423</v>
      </c>
      <c r="I180" s="46">
        <v>0.11956521739130435</v>
      </c>
      <c r="J180" s="46">
        <v>0.1710843373493976</v>
      </c>
      <c r="K180" s="6"/>
      <c r="L180" s="15">
        <f t="shared" si="58"/>
        <v>0.5537435137138621</v>
      </c>
      <c r="M180" s="15">
        <f t="shared" si="59"/>
        <v>1.2489466714818827</v>
      </c>
      <c r="N180" s="15">
        <f t="shared" si="60"/>
        <v>1.3691155944677071</v>
      </c>
      <c r="O180" s="15">
        <f t="shared" si="61"/>
        <v>0.69886711573790572</v>
      </c>
    </row>
    <row r="181" spans="3:15" x14ac:dyDescent="0.25">
      <c r="C181" s="63"/>
      <c r="D181" s="39">
        <v>3</v>
      </c>
      <c r="E181" s="68" t="s">
        <v>238</v>
      </c>
      <c r="F181" s="46">
        <v>0.16842105263157894</v>
      </c>
      <c r="G181" s="46">
        <v>8.5470085470085472E-2</v>
      </c>
      <c r="H181" s="46">
        <v>7.2072072072072071E-2</v>
      </c>
      <c r="I181" s="46">
        <v>6.5217391304347824E-2</v>
      </c>
      <c r="J181" s="46">
        <v>9.6385542168674704E-2</v>
      </c>
      <c r="K181" s="6"/>
      <c r="L181" s="15">
        <f t="shared" ref="L181:L244" si="62">F181/$J181</f>
        <v>1.7473684210526315</v>
      </c>
      <c r="M181" s="15">
        <f t="shared" ref="M181:M244" si="63">G181/$J181</f>
        <v>0.88675213675213671</v>
      </c>
      <c r="N181" s="15">
        <f t="shared" ref="N181:N244" si="64">H181/$J181</f>
        <v>0.74774774774774766</v>
      </c>
      <c r="O181" s="15">
        <f t="shared" ref="O181:O244" si="65">I181/$J181</f>
        <v>0.67663043478260865</v>
      </c>
    </row>
    <row r="182" spans="3:15" x14ac:dyDescent="0.25">
      <c r="C182" s="63"/>
      <c r="D182" s="39">
        <v>4</v>
      </c>
      <c r="E182" s="68" t="s">
        <v>238</v>
      </c>
      <c r="F182" s="46">
        <v>0.18947368421052632</v>
      </c>
      <c r="G182" s="46">
        <v>7.6923076923076927E-2</v>
      </c>
      <c r="H182" s="46">
        <v>8.1081081081081086E-2</v>
      </c>
      <c r="I182" s="46">
        <v>0.10869565217391304</v>
      </c>
      <c r="J182" s="46">
        <v>0.1108433734939759</v>
      </c>
      <c r="K182" s="6"/>
      <c r="L182" s="15">
        <f t="shared" si="62"/>
        <v>1.7093821510297484</v>
      </c>
      <c r="M182" s="15">
        <f t="shared" si="63"/>
        <v>0.69397993311036799</v>
      </c>
      <c r="N182" s="15">
        <f t="shared" si="64"/>
        <v>0.73149236192714462</v>
      </c>
      <c r="O182" s="15">
        <f t="shared" si="65"/>
        <v>0.98062381852551983</v>
      </c>
    </row>
    <row r="183" spans="3:15" x14ac:dyDescent="0.25">
      <c r="C183" s="63"/>
      <c r="D183" s="39">
        <v>5</v>
      </c>
      <c r="E183" s="68" t="s">
        <v>238</v>
      </c>
      <c r="F183" s="46">
        <v>6.3157894736842107E-2</v>
      </c>
      <c r="G183" s="46">
        <v>0.1111111111111111</v>
      </c>
      <c r="H183" s="46">
        <v>3.6036036036036036E-2</v>
      </c>
      <c r="I183" s="46">
        <v>6.5217391304347824E-2</v>
      </c>
      <c r="J183" s="46">
        <v>6.9879518072289162E-2</v>
      </c>
      <c r="K183" s="6"/>
      <c r="L183" s="15">
        <f t="shared" si="62"/>
        <v>0.90381125226860248</v>
      </c>
      <c r="M183" s="15">
        <f t="shared" si="63"/>
        <v>1.5900383141762451</v>
      </c>
      <c r="N183" s="15">
        <f t="shared" si="64"/>
        <v>0.51568810189499836</v>
      </c>
      <c r="O183" s="15">
        <f t="shared" si="65"/>
        <v>0.93328335832083953</v>
      </c>
    </row>
    <row r="184" spans="3:15" x14ac:dyDescent="0.25">
      <c r="C184" s="63"/>
      <c r="D184" s="39">
        <v>6</v>
      </c>
      <c r="E184" s="68" t="s">
        <v>238</v>
      </c>
      <c r="F184" s="46">
        <v>5.2631578947368418E-2</v>
      </c>
      <c r="G184" s="46">
        <v>7.6923076923076927E-2</v>
      </c>
      <c r="H184" s="46">
        <v>9.90990990990991E-2</v>
      </c>
      <c r="I184" s="46">
        <v>0.13043478260869565</v>
      </c>
      <c r="J184" s="46">
        <v>8.91566265060241E-2</v>
      </c>
      <c r="K184" s="6"/>
      <c r="L184" s="15">
        <f t="shared" si="62"/>
        <v>0.59032716927453766</v>
      </c>
      <c r="M184" s="15">
        <f t="shared" si="63"/>
        <v>0.86278586278586278</v>
      </c>
      <c r="N184" s="15">
        <f t="shared" si="64"/>
        <v>1.111516922327733</v>
      </c>
      <c r="O184" s="15">
        <f t="shared" si="65"/>
        <v>1.462984723854289</v>
      </c>
    </row>
    <row r="185" spans="3:15" x14ac:dyDescent="0.25">
      <c r="C185" s="63"/>
      <c r="D185" s="39">
        <v>7</v>
      </c>
      <c r="E185" s="68" t="s">
        <v>238</v>
      </c>
      <c r="F185" s="46">
        <v>0.12631578947368421</v>
      </c>
      <c r="G185" s="46">
        <v>0.1623931623931624</v>
      </c>
      <c r="H185" s="46">
        <v>5.4054054054054057E-2</v>
      </c>
      <c r="I185" s="46">
        <v>7.6086956521739135E-2</v>
      </c>
      <c r="J185" s="46">
        <v>0.10602409638554217</v>
      </c>
      <c r="K185" s="6"/>
      <c r="L185" s="15">
        <f t="shared" si="62"/>
        <v>1.1913875598086126</v>
      </c>
      <c r="M185" s="15">
        <f t="shared" si="63"/>
        <v>1.5316627816627817</v>
      </c>
      <c r="N185" s="15">
        <f t="shared" si="64"/>
        <v>0.50982800982800991</v>
      </c>
      <c r="O185" s="15">
        <f t="shared" si="65"/>
        <v>0.71763833992094872</v>
      </c>
    </row>
    <row r="186" spans="3:15" x14ac:dyDescent="0.25">
      <c r="C186" s="63"/>
      <c r="D186" s="39">
        <v>8</v>
      </c>
      <c r="E186" s="68" t="s">
        <v>238</v>
      </c>
      <c r="F186" s="46">
        <v>4.2105263157894736E-2</v>
      </c>
      <c r="G186" s="46">
        <v>6.8376068376068383E-2</v>
      </c>
      <c r="H186" s="46">
        <v>9.90990990990991E-2</v>
      </c>
      <c r="I186" s="46">
        <v>0.13043478260869565</v>
      </c>
      <c r="J186" s="46">
        <v>8.4337349397590355E-2</v>
      </c>
      <c r="K186" s="6"/>
      <c r="L186" s="15">
        <f t="shared" si="62"/>
        <v>0.49924812030075189</v>
      </c>
      <c r="M186" s="15">
        <f t="shared" si="63"/>
        <v>0.81074481074481086</v>
      </c>
      <c r="N186" s="15">
        <f t="shared" si="64"/>
        <v>1.1750321750321751</v>
      </c>
      <c r="O186" s="15">
        <f t="shared" si="65"/>
        <v>1.5465838509316772</v>
      </c>
    </row>
    <row r="187" spans="3:15" x14ac:dyDescent="0.25">
      <c r="C187" s="63"/>
      <c r="D187" s="39">
        <v>9</v>
      </c>
      <c r="E187" s="68" t="s">
        <v>238</v>
      </c>
      <c r="F187" s="46">
        <v>0.10526315789473684</v>
      </c>
      <c r="G187" s="46">
        <v>6.8376068376068383E-2</v>
      </c>
      <c r="H187" s="46">
        <v>9.90990990990991E-2</v>
      </c>
      <c r="I187" s="46">
        <v>0.13043478260869565</v>
      </c>
      <c r="J187" s="46">
        <v>9.8795180722891562E-2</v>
      </c>
      <c r="K187" s="6"/>
      <c r="L187" s="15">
        <f t="shared" si="62"/>
        <v>1.0654685494223364</v>
      </c>
      <c r="M187" s="15">
        <f t="shared" si="63"/>
        <v>0.69209922868459461</v>
      </c>
      <c r="N187" s="15">
        <f t="shared" si="64"/>
        <v>1.003076246978686</v>
      </c>
      <c r="O187" s="15">
        <f t="shared" si="65"/>
        <v>1.320254506892895</v>
      </c>
    </row>
    <row r="188" spans="3:15" x14ac:dyDescent="0.25">
      <c r="C188" s="63"/>
      <c r="D188" s="39">
        <v>10</v>
      </c>
      <c r="E188" s="68" t="s">
        <v>238</v>
      </c>
      <c r="F188" s="46">
        <v>4.2105263157894736E-2</v>
      </c>
      <c r="G188" s="46">
        <v>2.564102564102564E-2</v>
      </c>
      <c r="H188" s="46">
        <v>0.18018018018018017</v>
      </c>
      <c r="I188" s="46">
        <v>7.6086956521739135E-2</v>
      </c>
      <c r="J188" s="46">
        <v>8.1927710843373497E-2</v>
      </c>
      <c r="K188" s="6"/>
      <c r="L188" s="15">
        <f t="shared" si="62"/>
        <v>0.51393188854489158</v>
      </c>
      <c r="M188" s="15">
        <f t="shared" si="63"/>
        <v>0.31297134238310709</v>
      </c>
      <c r="N188" s="15">
        <f t="shared" si="64"/>
        <v>2.1992580816110228</v>
      </c>
      <c r="O188" s="15">
        <f t="shared" si="65"/>
        <v>0.92870843989769825</v>
      </c>
    </row>
    <row r="189" spans="3:15" x14ac:dyDescent="0.25">
      <c r="C189" s="63"/>
      <c r="D189" s="39">
        <v>1</v>
      </c>
      <c r="E189" s="67" t="s">
        <v>239</v>
      </c>
      <c r="F189" s="46">
        <v>0.21052631578947367</v>
      </c>
      <c r="G189" s="46">
        <v>0.1623931623931624</v>
      </c>
      <c r="H189" s="46">
        <v>0.18018018018018017</v>
      </c>
      <c r="I189" s="46">
        <v>0.11956521739130435</v>
      </c>
      <c r="J189" s="46">
        <v>0.16867469879518071</v>
      </c>
      <c r="K189" s="6"/>
      <c r="L189" s="15">
        <f t="shared" si="62"/>
        <v>1.2481203007518797</v>
      </c>
      <c r="M189" s="15">
        <f t="shared" si="63"/>
        <v>0.96275946275946289</v>
      </c>
      <c r="N189" s="15">
        <f t="shared" si="64"/>
        <v>1.0682110682110681</v>
      </c>
      <c r="O189" s="15">
        <f t="shared" si="65"/>
        <v>0.70885093167701874</v>
      </c>
    </row>
    <row r="190" spans="3:15" x14ac:dyDescent="0.25">
      <c r="C190" s="63"/>
      <c r="D190" s="39">
        <v>2</v>
      </c>
      <c r="E190" s="68" t="s">
        <v>239</v>
      </c>
      <c r="F190" s="46">
        <v>6.3157894736842107E-2</v>
      </c>
      <c r="G190" s="46">
        <v>8.5470085470085472E-2</v>
      </c>
      <c r="H190" s="46">
        <v>4.5045045045045043E-2</v>
      </c>
      <c r="I190" s="46">
        <v>5.434782608695652E-2</v>
      </c>
      <c r="J190" s="46">
        <v>6.2650602409638559E-2</v>
      </c>
      <c r="K190" s="6"/>
      <c r="L190" s="15">
        <f t="shared" si="62"/>
        <v>1.0080971659919027</v>
      </c>
      <c r="M190" s="15">
        <f t="shared" si="63"/>
        <v>1.3642340565417488</v>
      </c>
      <c r="N190" s="15">
        <f t="shared" si="64"/>
        <v>0.71898821898821885</v>
      </c>
      <c r="O190" s="15">
        <f t="shared" si="65"/>
        <v>0.86747491638795982</v>
      </c>
    </row>
    <row r="191" spans="3:15" x14ac:dyDescent="0.25">
      <c r="C191" s="63"/>
      <c r="D191" s="39">
        <v>3</v>
      </c>
      <c r="E191" s="68" t="s">
        <v>239</v>
      </c>
      <c r="F191" s="46">
        <v>0.16842105263157894</v>
      </c>
      <c r="G191" s="46">
        <v>5.9829059829059832E-2</v>
      </c>
      <c r="H191" s="46">
        <v>0.11711711711711711</v>
      </c>
      <c r="I191" s="46">
        <v>0.13043478260869565</v>
      </c>
      <c r="J191" s="46">
        <v>0.11566265060240964</v>
      </c>
      <c r="K191" s="6"/>
      <c r="L191" s="15">
        <f t="shared" si="62"/>
        <v>1.4561403508771928</v>
      </c>
      <c r="M191" s="15">
        <f t="shared" si="63"/>
        <v>0.51727207977207978</v>
      </c>
      <c r="N191" s="15">
        <f t="shared" si="64"/>
        <v>1.012575075075075</v>
      </c>
      <c r="O191" s="15">
        <f t="shared" si="65"/>
        <v>1.1277173913043477</v>
      </c>
    </row>
    <row r="192" spans="3:15" x14ac:dyDescent="0.25">
      <c r="C192" s="63"/>
      <c r="D192" s="39">
        <v>4</v>
      </c>
      <c r="E192" s="68" t="s">
        <v>239</v>
      </c>
      <c r="F192" s="46">
        <v>6.3157894736842107E-2</v>
      </c>
      <c r="G192" s="46">
        <v>0.11965811965811966</v>
      </c>
      <c r="H192" s="46">
        <v>8.1081081081081086E-2</v>
      </c>
      <c r="I192" s="46">
        <v>0.10869565217391304</v>
      </c>
      <c r="J192" s="46">
        <v>9.3975903614457831E-2</v>
      </c>
      <c r="K192" s="6"/>
      <c r="L192" s="15">
        <f t="shared" si="62"/>
        <v>0.67206477732793524</v>
      </c>
      <c r="M192" s="15">
        <f t="shared" si="63"/>
        <v>1.2732851194389656</v>
      </c>
      <c r="N192" s="15">
        <f t="shared" si="64"/>
        <v>0.86278586278586278</v>
      </c>
      <c r="O192" s="15">
        <f t="shared" si="65"/>
        <v>1.156633221850613</v>
      </c>
    </row>
    <row r="193" spans="3:15" x14ac:dyDescent="0.25">
      <c r="C193" s="63"/>
      <c r="D193" s="39">
        <v>5</v>
      </c>
      <c r="E193" s="68" t="s">
        <v>239</v>
      </c>
      <c r="F193" s="46">
        <v>3.1578947368421054E-2</v>
      </c>
      <c r="G193" s="46">
        <v>5.128205128205128E-2</v>
      </c>
      <c r="H193" s="46">
        <v>0.1981981981981982</v>
      </c>
      <c r="I193" s="46">
        <v>0.14130434782608695</v>
      </c>
      <c r="J193" s="46">
        <v>0.10602409638554217</v>
      </c>
      <c r="K193" s="6"/>
      <c r="L193" s="15">
        <f t="shared" si="62"/>
        <v>0.29784688995215314</v>
      </c>
      <c r="M193" s="15">
        <f t="shared" si="63"/>
        <v>0.48368298368298368</v>
      </c>
      <c r="N193" s="15">
        <f t="shared" si="64"/>
        <v>1.8693693693693694</v>
      </c>
      <c r="O193" s="15">
        <f t="shared" si="65"/>
        <v>1.3327569169960474</v>
      </c>
    </row>
    <row r="194" spans="3:15" x14ac:dyDescent="0.25">
      <c r="C194" s="63"/>
      <c r="D194" s="39">
        <v>6</v>
      </c>
      <c r="E194" s="68" t="s">
        <v>239</v>
      </c>
      <c r="F194" s="46">
        <v>0.10526315789473684</v>
      </c>
      <c r="G194" s="46">
        <v>8.5470085470085472E-2</v>
      </c>
      <c r="H194" s="46">
        <v>0.11711711711711711</v>
      </c>
      <c r="I194" s="46">
        <v>5.434782608695652E-2</v>
      </c>
      <c r="J194" s="46">
        <v>9.1566265060240959E-2</v>
      </c>
      <c r="K194" s="6"/>
      <c r="L194" s="15">
        <f t="shared" si="62"/>
        <v>1.1495844875346259</v>
      </c>
      <c r="M194" s="15">
        <f t="shared" si="63"/>
        <v>0.93342330184435451</v>
      </c>
      <c r="N194" s="15">
        <f t="shared" si="64"/>
        <v>1.2790422000948316</v>
      </c>
      <c r="O194" s="15">
        <f t="shared" si="65"/>
        <v>0.59353546910755151</v>
      </c>
    </row>
    <row r="195" spans="3:15" x14ac:dyDescent="0.25">
      <c r="C195" s="63"/>
      <c r="D195" s="39">
        <v>7</v>
      </c>
      <c r="E195" s="68" t="s">
        <v>239</v>
      </c>
      <c r="F195" s="46">
        <v>8.4210526315789472E-2</v>
      </c>
      <c r="G195" s="46">
        <v>0.10256410256410256</v>
      </c>
      <c r="H195" s="46">
        <v>4.5045045045045043E-2</v>
      </c>
      <c r="I195" s="46">
        <v>4.3478260869565216E-2</v>
      </c>
      <c r="J195" s="46">
        <v>6.9879518072289162E-2</v>
      </c>
      <c r="K195" s="6"/>
      <c r="L195" s="15">
        <f t="shared" si="62"/>
        <v>1.2050816696914699</v>
      </c>
      <c r="M195" s="15">
        <f t="shared" si="63"/>
        <v>1.4677276746242263</v>
      </c>
      <c r="N195" s="15">
        <f t="shared" si="64"/>
        <v>0.64461012736874801</v>
      </c>
      <c r="O195" s="15">
        <f t="shared" si="65"/>
        <v>0.62218890554722628</v>
      </c>
    </row>
    <row r="196" spans="3:15" x14ac:dyDescent="0.25">
      <c r="C196" s="63"/>
      <c r="D196" s="39">
        <v>8</v>
      </c>
      <c r="E196" s="68" t="s">
        <v>239</v>
      </c>
      <c r="F196" s="46">
        <v>6.3157894736842107E-2</v>
      </c>
      <c r="G196" s="46">
        <v>5.9829059829059832E-2</v>
      </c>
      <c r="H196" s="46">
        <v>9.0090090090090086E-2</v>
      </c>
      <c r="I196" s="46">
        <v>0.11956521739130435</v>
      </c>
      <c r="J196" s="46">
        <v>8.1927710843373497E-2</v>
      </c>
      <c r="K196" s="6"/>
      <c r="L196" s="15">
        <f t="shared" si="62"/>
        <v>0.77089783281733748</v>
      </c>
      <c r="M196" s="15">
        <f t="shared" si="63"/>
        <v>0.73026646556058317</v>
      </c>
      <c r="N196" s="15">
        <f t="shared" si="64"/>
        <v>1.0996290408055114</v>
      </c>
      <c r="O196" s="15">
        <f t="shared" si="65"/>
        <v>1.4593989769820972</v>
      </c>
    </row>
    <row r="197" spans="3:15" x14ac:dyDescent="0.25">
      <c r="C197" s="63"/>
      <c r="D197" s="39">
        <v>9</v>
      </c>
      <c r="E197" s="68" t="s">
        <v>239</v>
      </c>
      <c r="F197" s="46">
        <v>0.16842105263157894</v>
      </c>
      <c r="G197" s="46">
        <v>0.14529914529914531</v>
      </c>
      <c r="H197" s="46">
        <v>1.8018018018018018E-2</v>
      </c>
      <c r="I197" s="46">
        <v>0.10869565217391304</v>
      </c>
      <c r="J197" s="46">
        <v>0.10843373493975904</v>
      </c>
      <c r="K197" s="6"/>
      <c r="L197" s="15">
        <f t="shared" si="62"/>
        <v>1.5532163742690057</v>
      </c>
      <c r="M197" s="15">
        <f t="shared" si="63"/>
        <v>1.3399810066476734</v>
      </c>
      <c r="N197" s="15">
        <f t="shared" si="64"/>
        <v>0.16616616616616617</v>
      </c>
      <c r="O197" s="15">
        <f t="shared" si="65"/>
        <v>1.0024154589371981</v>
      </c>
    </row>
    <row r="198" spans="3:15" x14ac:dyDescent="0.25">
      <c r="C198" s="63"/>
      <c r="D198" s="39">
        <v>10</v>
      </c>
      <c r="E198" s="68" t="s">
        <v>239</v>
      </c>
      <c r="F198" s="46">
        <v>4.2105263157894736E-2</v>
      </c>
      <c r="G198" s="46">
        <v>0.12820512820512819</v>
      </c>
      <c r="H198" s="46">
        <v>0.10810810810810811</v>
      </c>
      <c r="I198" s="46">
        <v>0.11956521739130435</v>
      </c>
      <c r="J198" s="46">
        <v>0.10120481927710843</v>
      </c>
      <c r="K198" s="6"/>
      <c r="L198" s="15">
        <f t="shared" si="62"/>
        <v>0.41604010025062654</v>
      </c>
      <c r="M198" s="15">
        <f t="shared" si="63"/>
        <v>1.2667887667887667</v>
      </c>
      <c r="N198" s="15">
        <f t="shared" si="64"/>
        <v>1.0682110682110681</v>
      </c>
      <c r="O198" s="15">
        <f t="shared" si="65"/>
        <v>1.1814182194616978</v>
      </c>
    </row>
    <row r="199" spans="3:15" x14ac:dyDescent="0.25">
      <c r="C199" s="63"/>
      <c r="D199" s="39">
        <v>1</v>
      </c>
      <c r="E199" s="67" t="s">
        <v>240</v>
      </c>
      <c r="F199" s="46">
        <v>0.10526315789473684</v>
      </c>
      <c r="G199" s="46">
        <v>9.4017094017094016E-2</v>
      </c>
      <c r="H199" s="46">
        <v>9.0090090090090086E-2</v>
      </c>
      <c r="I199" s="46">
        <v>0.14130434782608695</v>
      </c>
      <c r="J199" s="46">
        <v>0.10602409638554217</v>
      </c>
      <c r="K199" s="6"/>
      <c r="L199" s="15">
        <f t="shared" si="62"/>
        <v>0.99282296650717705</v>
      </c>
      <c r="M199" s="15">
        <f t="shared" si="63"/>
        <v>0.88675213675213682</v>
      </c>
      <c r="N199" s="15">
        <f t="shared" si="64"/>
        <v>0.84971334971334966</v>
      </c>
      <c r="O199" s="15">
        <f t="shared" si="65"/>
        <v>1.3327569169960474</v>
      </c>
    </row>
    <row r="200" spans="3:15" x14ac:dyDescent="0.25">
      <c r="C200" s="63"/>
      <c r="D200" s="39">
        <v>2</v>
      </c>
      <c r="E200" s="68" t="s">
        <v>240</v>
      </c>
      <c r="F200" s="46">
        <v>0.15789473684210525</v>
      </c>
      <c r="G200" s="46">
        <v>5.128205128205128E-2</v>
      </c>
      <c r="H200" s="46">
        <v>9.0090090090090089E-3</v>
      </c>
      <c r="I200" s="46">
        <v>4.3478260869565216E-2</v>
      </c>
      <c r="J200" s="46">
        <v>6.2650602409638559E-2</v>
      </c>
      <c r="K200" s="6"/>
      <c r="L200" s="15">
        <f t="shared" si="62"/>
        <v>2.5202429149797569</v>
      </c>
      <c r="M200" s="15">
        <f t="shared" si="63"/>
        <v>0.81854043392504927</v>
      </c>
      <c r="N200" s="15">
        <f t="shared" si="64"/>
        <v>0.14379764379764379</v>
      </c>
      <c r="O200" s="15">
        <f t="shared" si="65"/>
        <v>0.69397993311036787</v>
      </c>
    </row>
    <row r="201" spans="3:15" x14ac:dyDescent="0.25">
      <c r="C201" s="63"/>
      <c r="D201" s="39">
        <v>3</v>
      </c>
      <c r="E201" s="68" t="s">
        <v>240</v>
      </c>
      <c r="F201" s="46">
        <v>2.1052631578947368E-2</v>
      </c>
      <c r="G201" s="46">
        <v>5.9829059829059832E-2</v>
      </c>
      <c r="H201" s="46">
        <v>0.18018018018018017</v>
      </c>
      <c r="I201" s="46">
        <v>0.18478260869565216</v>
      </c>
      <c r="J201" s="46">
        <v>0.1108433734939759</v>
      </c>
      <c r="K201" s="6"/>
      <c r="L201" s="15">
        <f t="shared" si="62"/>
        <v>0.18993135011441648</v>
      </c>
      <c r="M201" s="15">
        <f t="shared" si="63"/>
        <v>0.53976217019695283</v>
      </c>
      <c r="N201" s="15">
        <f t="shared" si="64"/>
        <v>1.6255385820603212</v>
      </c>
      <c r="O201" s="15">
        <f t="shared" si="65"/>
        <v>1.6670604914933838</v>
      </c>
    </row>
    <row r="202" spans="3:15" x14ac:dyDescent="0.25">
      <c r="C202" s="63"/>
      <c r="D202" s="39">
        <v>4</v>
      </c>
      <c r="E202" s="68" t="s">
        <v>240</v>
      </c>
      <c r="F202" s="46">
        <v>9.4736842105263161E-2</v>
      </c>
      <c r="G202" s="46">
        <v>0.11965811965811966</v>
      </c>
      <c r="H202" s="46">
        <v>0.24324324324324326</v>
      </c>
      <c r="I202" s="46">
        <v>0.11956521739130435</v>
      </c>
      <c r="J202" s="46">
        <v>0.14698795180722893</v>
      </c>
      <c r="K202" s="6"/>
      <c r="L202" s="15">
        <f t="shared" si="62"/>
        <v>0.6445211389128559</v>
      </c>
      <c r="M202" s="15">
        <f t="shared" si="63"/>
        <v>0.81406753537901078</v>
      </c>
      <c r="N202" s="15">
        <f t="shared" si="64"/>
        <v>1.6548515728843598</v>
      </c>
      <c r="O202" s="15">
        <f t="shared" si="65"/>
        <v>0.81343549536707049</v>
      </c>
    </row>
    <row r="203" spans="3:15" x14ac:dyDescent="0.25">
      <c r="C203" s="63"/>
      <c r="D203" s="39">
        <v>5</v>
      </c>
      <c r="E203" s="68" t="s">
        <v>240</v>
      </c>
      <c r="F203" s="46">
        <v>4.2105263157894736E-2</v>
      </c>
      <c r="G203" s="46">
        <v>5.9829059829059832E-2</v>
      </c>
      <c r="H203" s="46">
        <v>0.10810810810810811</v>
      </c>
      <c r="I203" s="46">
        <v>9.7826086956521743E-2</v>
      </c>
      <c r="J203" s="46">
        <v>7.7108433734939766E-2</v>
      </c>
      <c r="K203" s="6"/>
      <c r="L203" s="15">
        <f t="shared" si="62"/>
        <v>0.54605263157894735</v>
      </c>
      <c r="M203" s="15">
        <f t="shared" si="63"/>
        <v>0.77590811965811968</v>
      </c>
      <c r="N203" s="15">
        <f t="shared" si="64"/>
        <v>1.402027027027027</v>
      </c>
      <c r="O203" s="15">
        <f t="shared" si="65"/>
        <v>1.2686820652173914</v>
      </c>
    </row>
    <row r="204" spans="3:15" x14ac:dyDescent="0.25">
      <c r="C204" s="63"/>
      <c r="D204" s="39">
        <v>6</v>
      </c>
      <c r="E204" s="68" t="s">
        <v>240</v>
      </c>
      <c r="F204" s="46">
        <v>0.11578947368421053</v>
      </c>
      <c r="G204" s="46">
        <v>0.10256410256410256</v>
      </c>
      <c r="H204" s="46">
        <v>0.17117117117117117</v>
      </c>
      <c r="I204" s="46">
        <v>8.6956521739130432E-2</v>
      </c>
      <c r="J204" s="46">
        <v>0.12048192771084337</v>
      </c>
      <c r="K204" s="6"/>
      <c r="L204" s="15">
        <f t="shared" si="62"/>
        <v>0.96105263157894738</v>
      </c>
      <c r="M204" s="15">
        <f t="shared" si="63"/>
        <v>0.85128205128205126</v>
      </c>
      <c r="N204" s="15">
        <f t="shared" si="64"/>
        <v>1.4207207207207206</v>
      </c>
      <c r="O204" s="15">
        <f t="shared" si="65"/>
        <v>0.72173913043478255</v>
      </c>
    </row>
    <row r="205" spans="3:15" x14ac:dyDescent="0.25">
      <c r="C205" s="63"/>
      <c r="D205" s="39">
        <v>7</v>
      </c>
      <c r="E205" s="68" t="s">
        <v>240</v>
      </c>
      <c r="F205" s="46">
        <v>0.12631578947368421</v>
      </c>
      <c r="G205" s="46">
        <v>0.20512820512820512</v>
      </c>
      <c r="H205" s="46">
        <v>3.6036036036036036E-2</v>
      </c>
      <c r="I205" s="46">
        <v>8.6956521739130432E-2</v>
      </c>
      <c r="J205" s="46">
        <v>0.11566265060240964</v>
      </c>
      <c r="K205" s="6"/>
      <c r="L205" s="15">
        <f t="shared" si="62"/>
        <v>1.0921052631578947</v>
      </c>
      <c r="M205" s="15">
        <f t="shared" si="63"/>
        <v>1.7735042735042734</v>
      </c>
      <c r="N205" s="15">
        <f t="shared" si="64"/>
        <v>0.31156156156156156</v>
      </c>
      <c r="O205" s="15">
        <f t="shared" si="65"/>
        <v>0.75181159420289856</v>
      </c>
    </row>
    <row r="206" spans="3:15" x14ac:dyDescent="0.25">
      <c r="C206" s="63"/>
      <c r="D206" s="39">
        <v>8</v>
      </c>
      <c r="E206" s="68" t="s">
        <v>240</v>
      </c>
      <c r="F206" s="46">
        <v>0.1368421052631579</v>
      </c>
      <c r="G206" s="46">
        <v>0.1111111111111111</v>
      </c>
      <c r="H206" s="46">
        <v>4.5045045045045043E-2</v>
      </c>
      <c r="I206" s="46">
        <v>0.11956521739130435</v>
      </c>
      <c r="J206" s="46">
        <v>0.10120481927710843</v>
      </c>
      <c r="K206" s="6"/>
      <c r="L206" s="15">
        <f t="shared" si="62"/>
        <v>1.3521303258145365</v>
      </c>
      <c r="M206" s="15">
        <f t="shared" si="63"/>
        <v>1.0978835978835979</v>
      </c>
      <c r="N206" s="15">
        <f t="shared" si="64"/>
        <v>0.44508794508794508</v>
      </c>
      <c r="O206" s="15">
        <f t="shared" si="65"/>
        <v>1.1814182194616978</v>
      </c>
    </row>
    <row r="207" spans="3:15" x14ac:dyDescent="0.25">
      <c r="C207" s="63"/>
      <c r="D207" s="39">
        <v>9</v>
      </c>
      <c r="E207" s="68" t="s">
        <v>240</v>
      </c>
      <c r="F207" s="46">
        <v>0.1368421052631579</v>
      </c>
      <c r="G207" s="46">
        <v>9.4017094017094016E-2</v>
      </c>
      <c r="H207" s="46">
        <v>5.4054054054054057E-2</v>
      </c>
      <c r="I207" s="46">
        <v>5.434782608695652E-2</v>
      </c>
      <c r="J207" s="46">
        <v>8.4337349397590355E-2</v>
      </c>
      <c r="K207" s="6"/>
      <c r="L207" s="15">
        <f t="shared" si="62"/>
        <v>1.6225563909774439</v>
      </c>
      <c r="M207" s="15">
        <f t="shared" si="63"/>
        <v>1.1147741147741148</v>
      </c>
      <c r="N207" s="15">
        <f t="shared" si="64"/>
        <v>0.64092664092664098</v>
      </c>
      <c r="O207" s="15">
        <f t="shared" si="65"/>
        <v>0.64440993788819878</v>
      </c>
    </row>
    <row r="208" spans="3:15" x14ac:dyDescent="0.25">
      <c r="C208" s="63"/>
      <c r="D208" s="39">
        <v>10</v>
      </c>
      <c r="E208" s="68" t="s">
        <v>240</v>
      </c>
      <c r="F208" s="46">
        <v>6.3157894736842107E-2</v>
      </c>
      <c r="G208" s="46">
        <v>0.10256410256410256</v>
      </c>
      <c r="H208" s="46">
        <v>6.3063063063063057E-2</v>
      </c>
      <c r="I208" s="46">
        <v>6.5217391304347824E-2</v>
      </c>
      <c r="J208" s="46">
        <v>7.4698795180722893E-2</v>
      </c>
      <c r="K208" s="6"/>
      <c r="L208" s="15">
        <f t="shared" si="62"/>
        <v>0.84550084889643462</v>
      </c>
      <c r="M208" s="15">
        <f t="shared" si="63"/>
        <v>1.3730355665839535</v>
      </c>
      <c r="N208" s="15">
        <f t="shared" si="64"/>
        <v>0.84423132810229573</v>
      </c>
      <c r="O208" s="15">
        <f t="shared" si="65"/>
        <v>0.87307152875175309</v>
      </c>
    </row>
    <row r="209" spans="3:15" x14ac:dyDescent="0.25">
      <c r="C209" s="63"/>
      <c r="D209" s="39">
        <v>1</v>
      </c>
      <c r="E209" s="67" t="s">
        <v>241</v>
      </c>
      <c r="F209" s="46">
        <v>5.2631578947368418E-2</v>
      </c>
      <c r="G209" s="46">
        <v>5.128205128205128E-2</v>
      </c>
      <c r="H209" s="46">
        <v>9.0090090090090089E-3</v>
      </c>
      <c r="I209" s="46">
        <v>3.2608695652173912E-2</v>
      </c>
      <c r="J209" s="46">
        <v>3.614457831325301E-2</v>
      </c>
      <c r="K209" s="6"/>
      <c r="L209" s="15">
        <f t="shared" si="62"/>
        <v>1.4561403508771931</v>
      </c>
      <c r="M209" s="15">
        <f t="shared" si="63"/>
        <v>1.4188034188034189</v>
      </c>
      <c r="N209" s="15">
        <f t="shared" si="64"/>
        <v>0.24924924924924927</v>
      </c>
      <c r="O209" s="15">
        <f t="shared" si="65"/>
        <v>0.90217391304347827</v>
      </c>
    </row>
    <row r="210" spans="3:15" x14ac:dyDescent="0.25">
      <c r="C210" s="63"/>
      <c r="D210" s="39">
        <v>2</v>
      </c>
      <c r="E210" s="68" t="s">
        <v>241</v>
      </c>
      <c r="F210" s="46">
        <v>5.2631578947368418E-2</v>
      </c>
      <c r="G210" s="46">
        <v>6.8376068376068383E-2</v>
      </c>
      <c r="H210" s="46">
        <v>0.26126126126126126</v>
      </c>
      <c r="I210" s="46">
        <v>0.27173913043478259</v>
      </c>
      <c r="J210" s="46">
        <v>0.16144578313253011</v>
      </c>
      <c r="K210" s="6"/>
      <c r="L210" s="15">
        <f t="shared" si="62"/>
        <v>0.32600157109190886</v>
      </c>
      <c r="M210" s="15">
        <f t="shared" si="63"/>
        <v>0.42352340859803556</v>
      </c>
      <c r="N210" s="15">
        <f t="shared" si="64"/>
        <v>1.618260051095872</v>
      </c>
      <c r="O210" s="15">
        <f t="shared" si="65"/>
        <v>1.6831602855288774</v>
      </c>
    </row>
    <row r="211" spans="3:15" x14ac:dyDescent="0.25">
      <c r="C211" s="63"/>
      <c r="D211" s="39">
        <v>3</v>
      </c>
      <c r="E211" s="68" t="s">
        <v>241</v>
      </c>
      <c r="F211" s="46">
        <v>0.15789473684210525</v>
      </c>
      <c r="G211" s="46">
        <v>0.14529914529914531</v>
      </c>
      <c r="H211" s="46">
        <v>2.7027027027027029E-2</v>
      </c>
      <c r="I211" s="46">
        <v>3.2608695652173912E-2</v>
      </c>
      <c r="J211" s="46">
        <v>9.1566265060240959E-2</v>
      </c>
      <c r="K211" s="6"/>
      <c r="L211" s="15">
        <f t="shared" si="62"/>
        <v>1.7243767313019391</v>
      </c>
      <c r="M211" s="15">
        <f t="shared" si="63"/>
        <v>1.5868196131354029</v>
      </c>
      <c r="N211" s="15">
        <f t="shared" si="64"/>
        <v>0.29516358463726888</v>
      </c>
      <c r="O211" s="15">
        <f t="shared" si="65"/>
        <v>0.35612128146453093</v>
      </c>
    </row>
    <row r="212" spans="3:15" x14ac:dyDescent="0.25">
      <c r="C212" s="63"/>
      <c r="D212" s="39">
        <v>4</v>
      </c>
      <c r="E212" s="68" t="s">
        <v>241</v>
      </c>
      <c r="F212" s="46">
        <v>0.17894736842105263</v>
      </c>
      <c r="G212" s="46">
        <v>0.11965811965811966</v>
      </c>
      <c r="H212" s="46">
        <v>9.0090090090090089E-3</v>
      </c>
      <c r="I212" s="46">
        <v>1.0869565217391304E-2</v>
      </c>
      <c r="J212" s="46">
        <v>7.9518072289156624E-2</v>
      </c>
      <c r="K212" s="6"/>
      <c r="L212" s="15">
        <f t="shared" si="62"/>
        <v>2.2503987240829346</v>
      </c>
      <c r="M212" s="15">
        <f t="shared" si="63"/>
        <v>1.5047915047915048</v>
      </c>
      <c r="N212" s="15">
        <f t="shared" si="64"/>
        <v>0.1132951132951133</v>
      </c>
      <c r="O212" s="15">
        <f t="shared" si="65"/>
        <v>0.13669301712779974</v>
      </c>
    </row>
    <row r="213" spans="3:15" x14ac:dyDescent="0.25">
      <c r="C213" s="63"/>
      <c r="D213" s="39">
        <v>5</v>
      </c>
      <c r="E213" s="68" t="s">
        <v>241</v>
      </c>
      <c r="F213" s="46">
        <v>0.14736842105263157</v>
      </c>
      <c r="G213" s="46">
        <v>0.1111111111111111</v>
      </c>
      <c r="H213" s="46">
        <v>2.7027027027027029E-2</v>
      </c>
      <c r="I213" s="46">
        <v>0.10869565217391304</v>
      </c>
      <c r="J213" s="46">
        <v>9.6385542168674704E-2</v>
      </c>
      <c r="K213" s="6"/>
      <c r="L213" s="15">
        <f t="shared" si="62"/>
        <v>1.5289473684210524</v>
      </c>
      <c r="M213" s="15">
        <f t="shared" si="63"/>
        <v>1.1527777777777777</v>
      </c>
      <c r="N213" s="15">
        <f t="shared" si="64"/>
        <v>0.28040540540540543</v>
      </c>
      <c r="O213" s="15">
        <f t="shared" si="65"/>
        <v>1.1277173913043477</v>
      </c>
    </row>
    <row r="214" spans="3:15" x14ac:dyDescent="0.25">
      <c r="C214" s="63"/>
      <c r="D214" s="39">
        <v>6</v>
      </c>
      <c r="E214" s="68" t="s">
        <v>241</v>
      </c>
      <c r="F214" s="46">
        <v>0.14736842105263157</v>
      </c>
      <c r="G214" s="46">
        <v>9.4017094017094016E-2</v>
      </c>
      <c r="H214" s="46">
        <v>4.5045045045045043E-2</v>
      </c>
      <c r="I214" s="46">
        <v>7.6086956521739135E-2</v>
      </c>
      <c r="J214" s="46">
        <v>8.91566265060241E-2</v>
      </c>
      <c r="K214" s="6"/>
      <c r="L214" s="15">
        <f t="shared" si="62"/>
        <v>1.6529160739687052</v>
      </c>
      <c r="M214" s="15">
        <f t="shared" si="63"/>
        <v>1.0545160545160546</v>
      </c>
      <c r="N214" s="15">
        <f t="shared" si="64"/>
        <v>0.50523496469442408</v>
      </c>
      <c r="O214" s="15">
        <f t="shared" si="65"/>
        <v>0.85340775558166859</v>
      </c>
    </row>
    <row r="215" spans="3:15" x14ac:dyDescent="0.25">
      <c r="C215" s="63"/>
      <c r="D215" s="39">
        <v>7</v>
      </c>
      <c r="E215" s="68" t="s">
        <v>241</v>
      </c>
      <c r="F215" s="46">
        <v>0.10526315789473684</v>
      </c>
      <c r="G215" s="46">
        <v>0.14529914529914531</v>
      </c>
      <c r="H215" s="46">
        <v>6.3063063063063057E-2</v>
      </c>
      <c r="I215" s="46">
        <v>0.13043478260869565</v>
      </c>
      <c r="J215" s="46">
        <v>0.1108433734939759</v>
      </c>
      <c r="K215" s="6"/>
      <c r="L215" s="15">
        <f t="shared" si="62"/>
        <v>0.94965675057208243</v>
      </c>
      <c r="M215" s="15">
        <f t="shared" si="63"/>
        <v>1.3108509847640284</v>
      </c>
      <c r="N215" s="15">
        <f t="shared" si="64"/>
        <v>0.56893850372111243</v>
      </c>
      <c r="O215" s="15">
        <f t="shared" si="65"/>
        <v>1.1767485822306238</v>
      </c>
    </row>
    <row r="216" spans="3:15" x14ac:dyDescent="0.25">
      <c r="C216" s="63"/>
      <c r="D216" s="39">
        <v>8</v>
      </c>
      <c r="E216" s="68" t="s">
        <v>241</v>
      </c>
      <c r="F216" s="46">
        <v>6.3157894736842107E-2</v>
      </c>
      <c r="G216" s="46">
        <v>7.6923076923076927E-2</v>
      </c>
      <c r="H216" s="46">
        <v>0.1891891891891892</v>
      </c>
      <c r="I216" s="46">
        <v>7.6086956521739135E-2</v>
      </c>
      <c r="J216" s="46">
        <v>0.10361445783132531</v>
      </c>
      <c r="K216" s="6"/>
      <c r="L216" s="15">
        <f t="shared" si="62"/>
        <v>0.609547123623011</v>
      </c>
      <c r="M216" s="15">
        <f t="shared" si="63"/>
        <v>0.74239713774597493</v>
      </c>
      <c r="N216" s="15">
        <f t="shared" si="64"/>
        <v>1.8258956631049654</v>
      </c>
      <c r="O216" s="15">
        <f t="shared" si="65"/>
        <v>0.73432760364004046</v>
      </c>
    </row>
    <row r="217" spans="3:15" x14ac:dyDescent="0.25">
      <c r="C217" s="63"/>
      <c r="D217" s="39">
        <v>9</v>
      </c>
      <c r="E217" s="68" t="s">
        <v>241</v>
      </c>
      <c r="F217" s="46">
        <v>3.1578947368421054E-2</v>
      </c>
      <c r="G217" s="46">
        <v>3.4188034188034191E-2</v>
      </c>
      <c r="H217" s="46">
        <v>0.24324324324324326</v>
      </c>
      <c r="I217" s="46">
        <v>5.434782608695652E-2</v>
      </c>
      <c r="J217" s="46">
        <v>9.3975903614457831E-2</v>
      </c>
      <c r="K217" s="6"/>
      <c r="L217" s="15">
        <f t="shared" si="62"/>
        <v>0.33603238866396762</v>
      </c>
      <c r="M217" s="15">
        <f t="shared" si="63"/>
        <v>0.36379574841113305</v>
      </c>
      <c r="N217" s="15">
        <f t="shared" si="64"/>
        <v>2.5883575883575887</v>
      </c>
      <c r="O217" s="15">
        <f t="shared" si="65"/>
        <v>0.57831661092530651</v>
      </c>
    </row>
    <row r="218" spans="3:15" x14ac:dyDescent="0.25">
      <c r="C218" s="63"/>
      <c r="D218" s="39">
        <v>10</v>
      </c>
      <c r="E218" s="68" t="s">
        <v>241</v>
      </c>
      <c r="F218" s="46">
        <v>6.3157894736842107E-2</v>
      </c>
      <c r="G218" s="46">
        <v>0.15384615384615385</v>
      </c>
      <c r="H218" s="46">
        <v>0.12612612612612611</v>
      </c>
      <c r="I218" s="46">
        <v>0.20652173913043478</v>
      </c>
      <c r="J218" s="46">
        <v>0.13734939759036144</v>
      </c>
      <c r="K218" s="6"/>
      <c r="L218" s="15">
        <f t="shared" si="62"/>
        <v>0.45983379501385047</v>
      </c>
      <c r="M218" s="15">
        <f t="shared" si="63"/>
        <v>1.1201079622132255</v>
      </c>
      <c r="N218" s="15">
        <f t="shared" si="64"/>
        <v>0.9182867077603919</v>
      </c>
      <c r="O218" s="15">
        <f t="shared" si="65"/>
        <v>1.5036231884057971</v>
      </c>
    </row>
    <row r="219" spans="3:15" x14ac:dyDescent="0.25">
      <c r="C219" s="63"/>
      <c r="D219" s="39">
        <v>1</v>
      </c>
      <c r="E219" s="67" t="s">
        <v>242</v>
      </c>
      <c r="F219" s="46">
        <v>0.1368421052631579</v>
      </c>
      <c r="G219" s="46">
        <v>0.13675213675213677</v>
      </c>
      <c r="H219" s="46">
        <v>5.4054054054054057E-2</v>
      </c>
      <c r="I219" s="46">
        <v>4.3478260869565216E-2</v>
      </c>
      <c r="J219" s="46">
        <v>9.3975903614457831E-2</v>
      </c>
      <c r="K219" s="6"/>
      <c r="L219" s="15">
        <f t="shared" si="62"/>
        <v>1.4561403508771931</v>
      </c>
      <c r="M219" s="15">
        <f t="shared" si="63"/>
        <v>1.4551829936445322</v>
      </c>
      <c r="N219" s="15">
        <f t="shared" si="64"/>
        <v>0.57519057519057526</v>
      </c>
      <c r="O219" s="15">
        <f t="shared" si="65"/>
        <v>0.46265328874024525</v>
      </c>
    </row>
    <row r="220" spans="3:15" x14ac:dyDescent="0.25">
      <c r="C220" s="63"/>
      <c r="D220" s="39">
        <v>2</v>
      </c>
      <c r="E220" s="68" t="s">
        <v>242</v>
      </c>
      <c r="F220" s="46">
        <v>7.3684210526315783E-2</v>
      </c>
      <c r="G220" s="46">
        <v>7.6923076923076927E-2</v>
      </c>
      <c r="H220" s="46">
        <v>0.15315315315315314</v>
      </c>
      <c r="I220" s="46">
        <v>0.13043478260869565</v>
      </c>
      <c r="J220" s="46">
        <v>0.10843373493975904</v>
      </c>
      <c r="K220" s="6"/>
      <c r="L220" s="15">
        <f t="shared" si="62"/>
        <v>0.67953216374268999</v>
      </c>
      <c r="M220" s="15">
        <f t="shared" si="63"/>
        <v>0.70940170940170943</v>
      </c>
      <c r="N220" s="15">
        <f t="shared" si="64"/>
        <v>1.4124124124124122</v>
      </c>
      <c r="O220" s="15">
        <f t="shared" si="65"/>
        <v>1.2028985507246377</v>
      </c>
    </row>
    <row r="221" spans="3:15" x14ac:dyDescent="0.25">
      <c r="C221" s="63"/>
      <c r="D221" s="39">
        <v>3</v>
      </c>
      <c r="E221" s="68" t="s">
        <v>242</v>
      </c>
      <c r="F221" s="46">
        <v>0.10526315789473684</v>
      </c>
      <c r="G221" s="46">
        <v>0.11965811965811966</v>
      </c>
      <c r="H221" s="46">
        <v>8.1081081081081086E-2</v>
      </c>
      <c r="I221" s="46">
        <v>6.5217391304347824E-2</v>
      </c>
      <c r="J221" s="46">
        <v>9.3975903614457831E-2</v>
      </c>
      <c r="K221" s="6"/>
      <c r="L221" s="15">
        <f t="shared" si="62"/>
        <v>1.1201079622132253</v>
      </c>
      <c r="M221" s="15">
        <f t="shared" si="63"/>
        <v>1.2732851194389656</v>
      </c>
      <c r="N221" s="15">
        <f t="shared" si="64"/>
        <v>0.86278586278586278</v>
      </c>
      <c r="O221" s="15">
        <f t="shared" si="65"/>
        <v>0.69397993311036787</v>
      </c>
    </row>
    <row r="222" spans="3:15" x14ac:dyDescent="0.25">
      <c r="C222" s="63"/>
      <c r="D222" s="39">
        <v>4</v>
      </c>
      <c r="E222" s="68" t="s">
        <v>242</v>
      </c>
      <c r="F222" s="46">
        <v>7.3684210526315783E-2</v>
      </c>
      <c r="G222" s="46">
        <v>7.6923076923076927E-2</v>
      </c>
      <c r="H222" s="46">
        <v>7.2072072072072071E-2</v>
      </c>
      <c r="I222" s="46">
        <v>0.13043478260869565</v>
      </c>
      <c r="J222" s="46">
        <v>8.6746987951807228E-2</v>
      </c>
      <c r="K222" s="6"/>
      <c r="L222" s="15">
        <f t="shared" si="62"/>
        <v>0.84941520467836251</v>
      </c>
      <c r="M222" s="15">
        <f t="shared" si="63"/>
        <v>0.88675213675213682</v>
      </c>
      <c r="N222" s="15">
        <f t="shared" si="64"/>
        <v>0.83083083083083087</v>
      </c>
      <c r="O222" s="15">
        <f t="shared" si="65"/>
        <v>1.5036231884057971</v>
      </c>
    </row>
    <row r="223" spans="3:15" x14ac:dyDescent="0.25">
      <c r="C223" s="63"/>
      <c r="D223" s="39">
        <v>5</v>
      </c>
      <c r="E223" s="68" t="s">
        <v>242</v>
      </c>
      <c r="F223" s="46">
        <v>7.3684210526315783E-2</v>
      </c>
      <c r="G223" s="46">
        <v>6.8376068376068383E-2</v>
      </c>
      <c r="H223" s="46">
        <v>0.14414414414414414</v>
      </c>
      <c r="I223" s="46">
        <v>0.14130434782608695</v>
      </c>
      <c r="J223" s="46">
        <v>0.10602409638554217</v>
      </c>
      <c r="K223" s="6"/>
      <c r="L223" s="15">
        <f t="shared" si="62"/>
        <v>0.69497607655502391</v>
      </c>
      <c r="M223" s="15">
        <f t="shared" si="63"/>
        <v>0.64491064491064498</v>
      </c>
      <c r="N223" s="15">
        <f t="shared" si="64"/>
        <v>1.3595413595413595</v>
      </c>
      <c r="O223" s="15">
        <f t="shared" si="65"/>
        <v>1.3327569169960474</v>
      </c>
    </row>
    <row r="224" spans="3:15" x14ac:dyDescent="0.25">
      <c r="C224" s="63"/>
      <c r="D224" s="39">
        <v>6</v>
      </c>
      <c r="E224" s="68" t="s">
        <v>242</v>
      </c>
      <c r="F224" s="46">
        <v>7.3684210526315783E-2</v>
      </c>
      <c r="G224" s="46">
        <v>7.6923076923076927E-2</v>
      </c>
      <c r="H224" s="46">
        <v>5.4054054054054057E-2</v>
      </c>
      <c r="I224" s="46">
        <v>0.10869565217391304</v>
      </c>
      <c r="J224" s="46">
        <v>7.7108433734939766E-2</v>
      </c>
      <c r="K224" s="6"/>
      <c r="L224" s="15">
        <f t="shared" si="62"/>
        <v>0.95559210526315774</v>
      </c>
      <c r="M224" s="15">
        <f t="shared" si="63"/>
        <v>0.99759615384615385</v>
      </c>
      <c r="N224" s="15">
        <f t="shared" si="64"/>
        <v>0.70101351351351349</v>
      </c>
      <c r="O224" s="15">
        <f t="shared" si="65"/>
        <v>1.4096467391304346</v>
      </c>
    </row>
    <row r="225" spans="3:15" x14ac:dyDescent="0.25">
      <c r="C225" s="63"/>
      <c r="D225" s="39">
        <v>7</v>
      </c>
      <c r="E225" s="68" t="s">
        <v>242</v>
      </c>
      <c r="F225" s="46">
        <v>0.15789473684210525</v>
      </c>
      <c r="G225" s="46">
        <v>5.9829059829059832E-2</v>
      </c>
      <c r="H225" s="46">
        <v>0.10810810810810811</v>
      </c>
      <c r="I225" s="46">
        <v>0.13043478260869565</v>
      </c>
      <c r="J225" s="46">
        <v>0.1108433734939759</v>
      </c>
      <c r="K225" s="6"/>
      <c r="L225" s="15">
        <f t="shared" si="62"/>
        <v>1.4244851258581235</v>
      </c>
      <c r="M225" s="15">
        <f t="shared" si="63"/>
        <v>0.53976217019695283</v>
      </c>
      <c r="N225" s="15">
        <f t="shared" si="64"/>
        <v>0.97532314923619279</v>
      </c>
      <c r="O225" s="15">
        <f t="shared" si="65"/>
        <v>1.1767485822306238</v>
      </c>
    </row>
    <row r="226" spans="3:15" x14ac:dyDescent="0.25">
      <c r="C226" s="63"/>
      <c r="D226" s="39">
        <v>8</v>
      </c>
      <c r="E226" s="68" t="s">
        <v>242</v>
      </c>
      <c r="F226" s="46">
        <v>8.4210526315789472E-2</v>
      </c>
      <c r="G226" s="46">
        <v>0.12820512820512819</v>
      </c>
      <c r="H226" s="46">
        <v>0.13513513513513514</v>
      </c>
      <c r="I226" s="46">
        <v>5.434782608695652E-2</v>
      </c>
      <c r="J226" s="46">
        <v>0.10361445783132531</v>
      </c>
      <c r="K226" s="6"/>
      <c r="L226" s="15">
        <f t="shared" si="62"/>
        <v>0.81272949816401463</v>
      </c>
      <c r="M226" s="15">
        <f t="shared" si="63"/>
        <v>1.2373285629099582</v>
      </c>
      <c r="N226" s="15">
        <f t="shared" si="64"/>
        <v>1.3042111879321181</v>
      </c>
      <c r="O226" s="15">
        <f t="shared" si="65"/>
        <v>0.52451971688574317</v>
      </c>
    </row>
    <row r="227" spans="3:15" x14ac:dyDescent="0.25">
      <c r="C227" s="63"/>
      <c r="D227" s="39">
        <v>9</v>
      </c>
      <c r="E227" s="68" t="s">
        <v>242</v>
      </c>
      <c r="F227" s="46">
        <v>0.1368421052631579</v>
      </c>
      <c r="G227" s="46">
        <v>0.18803418803418803</v>
      </c>
      <c r="H227" s="46">
        <v>7.2072072072072071E-2</v>
      </c>
      <c r="I227" s="46">
        <v>9.7826086956521743E-2</v>
      </c>
      <c r="J227" s="46">
        <v>0.12530120481927712</v>
      </c>
      <c r="K227" s="6"/>
      <c r="L227" s="15">
        <f t="shared" si="62"/>
        <v>1.0921052631578947</v>
      </c>
      <c r="M227" s="15">
        <f t="shared" si="63"/>
        <v>1.5006574621959237</v>
      </c>
      <c r="N227" s="15">
        <f t="shared" si="64"/>
        <v>0.57519057519057515</v>
      </c>
      <c r="O227" s="15">
        <f t="shared" si="65"/>
        <v>0.7807274247491639</v>
      </c>
    </row>
    <row r="228" spans="3:15" x14ac:dyDescent="0.25">
      <c r="C228" s="63"/>
      <c r="D228" s="39">
        <v>10</v>
      </c>
      <c r="E228" s="68" t="s">
        <v>242</v>
      </c>
      <c r="F228" s="46">
        <v>8.4210526315789472E-2</v>
      </c>
      <c r="G228" s="46">
        <v>6.8376068376068383E-2</v>
      </c>
      <c r="H228" s="46">
        <v>0.12612612612612611</v>
      </c>
      <c r="I228" s="46">
        <v>9.7826086956521743E-2</v>
      </c>
      <c r="J228" s="46">
        <v>9.3975903614457831E-2</v>
      </c>
      <c r="K228" s="6"/>
      <c r="L228" s="15">
        <f t="shared" si="62"/>
        <v>0.89608636977058032</v>
      </c>
      <c r="M228" s="15">
        <f t="shared" si="63"/>
        <v>0.72759149682226609</v>
      </c>
      <c r="N228" s="15">
        <f t="shared" si="64"/>
        <v>1.342111342111342</v>
      </c>
      <c r="O228" s="15">
        <f t="shared" si="65"/>
        <v>1.0409698996655519</v>
      </c>
    </row>
    <row r="229" spans="3:15" x14ac:dyDescent="0.25">
      <c r="C229" s="63"/>
      <c r="D229" s="39">
        <v>1</v>
      </c>
      <c r="E229" s="67" t="s">
        <v>243</v>
      </c>
      <c r="F229" s="46">
        <v>7.3684210526315783E-2</v>
      </c>
      <c r="G229" s="46">
        <v>5.128205128205128E-2</v>
      </c>
      <c r="H229" s="46">
        <v>0.2072072072072072</v>
      </c>
      <c r="I229" s="46">
        <v>0.2391304347826087</v>
      </c>
      <c r="J229" s="46">
        <v>0.13975903614457832</v>
      </c>
      <c r="K229" s="6"/>
      <c r="L229" s="15">
        <f t="shared" si="62"/>
        <v>0.52722323049001807</v>
      </c>
      <c r="M229" s="15">
        <f t="shared" si="63"/>
        <v>0.36693191865605657</v>
      </c>
      <c r="N229" s="15">
        <f t="shared" si="64"/>
        <v>1.4826032929481203</v>
      </c>
      <c r="O229" s="15">
        <f t="shared" si="65"/>
        <v>1.7110194902548725</v>
      </c>
    </row>
    <row r="230" spans="3:15" x14ac:dyDescent="0.25">
      <c r="C230" s="63"/>
      <c r="D230" s="39">
        <v>2</v>
      </c>
      <c r="E230" s="68" t="s">
        <v>243</v>
      </c>
      <c r="F230" s="46">
        <v>4.2105263157894736E-2</v>
      </c>
      <c r="G230" s="46">
        <v>0.10256410256410256</v>
      </c>
      <c r="H230" s="46">
        <v>0</v>
      </c>
      <c r="I230" s="46">
        <v>0</v>
      </c>
      <c r="J230" s="46">
        <v>3.8554216867469883E-2</v>
      </c>
      <c r="K230" s="6"/>
      <c r="L230" s="15">
        <f t="shared" si="62"/>
        <v>1.0921052631578947</v>
      </c>
      <c r="M230" s="15">
        <f t="shared" si="63"/>
        <v>2.6602564102564101</v>
      </c>
      <c r="N230" s="15">
        <f t="shared" si="64"/>
        <v>0</v>
      </c>
      <c r="O230" s="15">
        <f t="shared" si="65"/>
        <v>0</v>
      </c>
    </row>
    <row r="231" spans="3:15" x14ac:dyDescent="0.25">
      <c r="C231" s="63"/>
      <c r="D231" s="39">
        <v>3</v>
      </c>
      <c r="E231" s="68" t="s">
        <v>243</v>
      </c>
      <c r="F231" s="46">
        <v>0.12631578947368421</v>
      </c>
      <c r="G231" s="46">
        <v>0.14529914529914531</v>
      </c>
      <c r="H231" s="46">
        <v>0.1981981981981982</v>
      </c>
      <c r="I231" s="46">
        <v>0.13043478260869565</v>
      </c>
      <c r="J231" s="46">
        <v>0.15180722891566265</v>
      </c>
      <c r="K231" s="6"/>
      <c r="L231" s="15">
        <f t="shared" si="62"/>
        <v>0.8320802005012532</v>
      </c>
      <c r="M231" s="15">
        <f t="shared" si="63"/>
        <v>0.95712929046262385</v>
      </c>
      <c r="N231" s="15">
        <f t="shared" si="64"/>
        <v>1.3055913055913055</v>
      </c>
      <c r="O231" s="15">
        <f t="shared" si="65"/>
        <v>0.85921325051759834</v>
      </c>
    </row>
    <row r="232" spans="3:15" x14ac:dyDescent="0.25">
      <c r="C232" s="63"/>
      <c r="D232" s="39">
        <v>4</v>
      </c>
      <c r="E232" s="68" t="s">
        <v>243</v>
      </c>
      <c r="F232" s="46">
        <v>0.16842105263157894</v>
      </c>
      <c r="G232" s="46">
        <v>0.10256410256410256</v>
      </c>
      <c r="H232" s="46">
        <v>8.1081081081081086E-2</v>
      </c>
      <c r="I232" s="46">
        <v>0.11956521739130435</v>
      </c>
      <c r="J232" s="46">
        <v>0.11566265060240964</v>
      </c>
      <c r="K232" s="6"/>
      <c r="L232" s="15">
        <f t="shared" si="62"/>
        <v>1.4561403508771928</v>
      </c>
      <c r="M232" s="15">
        <f t="shared" si="63"/>
        <v>0.88675213675213671</v>
      </c>
      <c r="N232" s="15">
        <f t="shared" si="64"/>
        <v>0.70101351351351349</v>
      </c>
      <c r="O232" s="15">
        <f t="shared" si="65"/>
        <v>1.0337409420289856</v>
      </c>
    </row>
    <row r="233" spans="3:15" x14ac:dyDescent="0.25">
      <c r="C233" s="63"/>
      <c r="D233" s="39">
        <v>5</v>
      </c>
      <c r="E233" s="68" t="s">
        <v>243</v>
      </c>
      <c r="F233" s="46">
        <v>0.17894736842105263</v>
      </c>
      <c r="G233" s="46">
        <v>0.11965811965811966</v>
      </c>
      <c r="H233" s="46">
        <v>0.12612612612612611</v>
      </c>
      <c r="I233" s="46">
        <v>0.11956521739130435</v>
      </c>
      <c r="J233" s="46">
        <v>0.13493975903614458</v>
      </c>
      <c r="K233" s="6"/>
      <c r="L233" s="15">
        <f t="shared" si="62"/>
        <v>1.3261278195488722</v>
      </c>
      <c r="M233" s="15">
        <f t="shared" si="63"/>
        <v>0.88675213675213682</v>
      </c>
      <c r="N233" s="15">
        <f t="shared" si="64"/>
        <v>0.93468468468468457</v>
      </c>
      <c r="O233" s="15">
        <f t="shared" si="65"/>
        <v>0.88606366459627328</v>
      </c>
    </row>
    <row r="234" spans="3:15" x14ac:dyDescent="0.25">
      <c r="C234" s="63"/>
      <c r="D234" s="39">
        <v>6</v>
      </c>
      <c r="E234" s="68" t="s">
        <v>243</v>
      </c>
      <c r="F234" s="46">
        <v>0.10526315789473684</v>
      </c>
      <c r="G234" s="46">
        <v>0.17094017094017094</v>
      </c>
      <c r="H234" s="46">
        <v>8.1081081081081086E-2</v>
      </c>
      <c r="I234" s="46">
        <v>8.6956521739130432E-2</v>
      </c>
      <c r="J234" s="46">
        <v>0.11325301204819277</v>
      </c>
      <c r="K234" s="6"/>
      <c r="L234" s="15">
        <f t="shared" si="62"/>
        <v>0.92945128779395292</v>
      </c>
      <c r="M234" s="15">
        <f t="shared" si="63"/>
        <v>1.5093653391525732</v>
      </c>
      <c r="N234" s="15">
        <f t="shared" si="64"/>
        <v>0.71592869465209896</v>
      </c>
      <c r="O234" s="15">
        <f t="shared" si="65"/>
        <v>0.76780758556891771</v>
      </c>
    </row>
    <row r="235" spans="3:15" x14ac:dyDescent="0.25">
      <c r="C235" s="63"/>
      <c r="D235" s="39">
        <v>7</v>
      </c>
      <c r="E235" s="68" t="s">
        <v>243</v>
      </c>
      <c r="F235" s="46">
        <v>2.1052631578947368E-2</v>
      </c>
      <c r="G235" s="46">
        <v>3.4188034188034191E-2</v>
      </c>
      <c r="H235" s="46">
        <v>0.2072072072072072</v>
      </c>
      <c r="I235" s="46">
        <v>0.13043478260869565</v>
      </c>
      <c r="J235" s="46">
        <v>9.8795180722891562E-2</v>
      </c>
      <c r="K235" s="6"/>
      <c r="L235" s="15">
        <f t="shared" si="62"/>
        <v>0.21309370988446727</v>
      </c>
      <c r="M235" s="15">
        <f t="shared" si="63"/>
        <v>0.34604961434229731</v>
      </c>
      <c r="N235" s="15">
        <f t="shared" si="64"/>
        <v>2.097341243682707</v>
      </c>
      <c r="O235" s="15">
        <f t="shared" si="65"/>
        <v>1.320254506892895</v>
      </c>
    </row>
    <row r="236" spans="3:15" x14ac:dyDescent="0.25">
      <c r="C236" s="63"/>
      <c r="D236" s="39">
        <v>8</v>
      </c>
      <c r="E236" s="68" t="s">
        <v>243</v>
      </c>
      <c r="F236" s="46">
        <v>9.4736842105263161E-2</v>
      </c>
      <c r="G236" s="46">
        <v>8.5470085470085472E-2</v>
      </c>
      <c r="H236" s="46">
        <v>7.2072072072072071E-2</v>
      </c>
      <c r="I236" s="46">
        <v>5.434782608695652E-2</v>
      </c>
      <c r="J236" s="46">
        <v>7.7108433734939766E-2</v>
      </c>
      <c r="K236" s="6"/>
      <c r="L236" s="15">
        <f t="shared" si="62"/>
        <v>1.2286184210526314</v>
      </c>
      <c r="M236" s="15">
        <f t="shared" si="63"/>
        <v>1.1084401709401708</v>
      </c>
      <c r="N236" s="15">
        <f t="shared" si="64"/>
        <v>0.93468468468468457</v>
      </c>
      <c r="O236" s="15">
        <f t="shared" si="65"/>
        <v>0.70482336956521729</v>
      </c>
    </row>
    <row r="237" spans="3:15" x14ac:dyDescent="0.25">
      <c r="C237" s="63"/>
      <c r="D237" s="39">
        <v>9</v>
      </c>
      <c r="E237" s="68" t="s">
        <v>243</v>
      </c>
      <c r="F237" s="46">
        <v>0.14736842105263157</v>
      </c>
      <c r="G237" s="46">
        <v>9.4017094017094016E-2</v>
      </c>
      <c r="H237" s="46">
        <v>1.8018018018018018E-2</v>
      </c>
      <c r="I237" s="46">
        <v>8.6956521739130432E-2</v>
      </c>
      <c r="J237" s="46">
        <v>8.4337349397590355E-2</v>
      </c>
      <c r="K237" s="6"/>
      <c r="L237" s="15">
        <f t="shared" si="62"/>
        <v>1.7473684210526315</v>
      </c>
      <c r="M237" s="15">
        <f t="shared" si="63"/>
        <v>1.1147741147741148</v>
      </c>
      <c r="N237" s="15">
        <f t="shared" si="64"/>
        <v>0.21364221364221367</v>
      </c>
      <c r="O237" s="15">
        <f t="shared" si="65"/>
        <v>1.031055900621118</v>
      </c>
    </row>
    <row r="238" spans="3:15" x14ac:dyDescent="0.25">
      <c r="C238" s="63"/>
      <c r="D238" s="39">
        <v>10</v>
      </c>
      <c r="E238" s="68" t="s">
        <v>243</v>
      </c>
      <c r="F238" s="46">
        <v>4.2105263157894736E-2</v>
      </c>
      <c r="G238" s="46">
        <v>9.4017094017094016E-2</v>
      </c>
      <c r="H238" s="46">
        <v>9.0090090090090089E-3</v>
      </c>
      <c r="I238" s="46">
        <v>3.2608695652173912E-2</v>
      </c>
      <c r="J238" s="46">
        <v>4.5783132530120479E-2</v>
      </c>
      <c r="K238" s="6"/>
      <c r="L238" s="15">
        <f t="shared" si="62"/>
        <v>0.91966759002770082</v>
      </c>
      <c r="M238" s="15">
        <f t="shared" si="63"/>
        <v>2.0535312640575798</v>
      </c>
      <c r="N238" s="15">
        <f t="shared" si="64"/>
        <v>0.19677572309151256</v>
      </c>
      <c r="O238" s="15">
        <f t="shared" si="65"/>
        <v>0.71224256292906185</v>
      </c>
    </row>
    <row r="239" spans="3:15" x14ac:dyDescent="0.25">
      <c r="C239" s="63"/>
      <c r="D239" s="39">
        <v>1</v>
      </c>
      <c r="E239" s="67" t="s">
        <v>244</v>
      </c>
      <c r="F239" s="46">
        <v>1.0526315789473684E-2</v>
      </c>
      <c r="G239" s="46">
        <v>2.564102564102564E-2</v>
      </c>
      <c r="H239" s="46">
        <v>0.11711711711711711</v>
      </c>
      <c r="I239" s="46">
        <v>9.7826086956521743E-2</v>
      </c>
      <c r="J239" s="46">
        <v>6.2650602409638559E-2</v>
      </c>
      <c r="K239" s="6"/>
      <c r="L239" s="15">
        <f t="shared" si="62"/>
        <v>0.16801619433198378</v>
      </c>
      <c r="M239" s="15">
        <f t="shared" si="63"/>
        <v>0.40927021696252464</v>
      </c>
      <c r="N239" s="15">
        <f t="shared" si="64"/>
        <v>1.8693693693693691</v>
      </c>
      <c r="O239" s="15">
        <f t="shared" si="65"/>
        <v>1.5614548494983278</v>
      </c>
    </row>
    <row r="240" spans="3:15" x14ac:dyDescent="0.25">
      <c r="C240" s="63"/>
      <c r="D240" s="39">
        <v>2</v>
      </c>
      <c r="E240" s="68" t="s">
        <v>244</v>
      </c>
      <c r="F240" s="46">
        <v>0.14736842105263157</v>
      </c>
      <c r="G240" s="46">
        <v>0.1111111111111111</v>
      </c>
      <c r="H240" s="46">
        <v>9.90990990990991E-2</v>
      </c>
      <c r="I240" s="46">
        <v>6.5217391304347824E-2</v>
      </c>
      <c r="J240" s="46">
        <v>0.10602409638554217</v>
      </c>
      <c r="K240" s="6"/>
      <c r="L240" s="15">
        <f t="shared" si="62"/>
        <v>1.3899521531100478</v>
      </c>
      <c r="M240" s="15">
        <f t="shared" si="63"/>
        <v>1.047979797979798</v>
      </c>
      <c r="N240" s="15">
        <f t="shared" si="64"/>
        <v>0.93468468468468469</v>
      </c>
      <c r="O240" s="15">
        <f t="shared" si="65"/>
        <v>0.61511857707509876</v>
      </c>
    </row>
    <row r="241" spans="3:15" x14ac:dyDescent="0.25">
      <c r="C241" s="63"/>
      <c r="D241" s="39">
        <v>3</v>
      </c>
      <c r="E241" s="68" t="s">
        <v>244</v>
      </c>
      <c r="F241" s="46">
        <v>2.1052631578947368E-2</v>
      </c>
      <c r="G241" s="46">
        <v>0.10256410256410256</v>
      </c>
      <c r="H241" s="46">
        <v>9.90990990990991E-2</v>
      </c>
      <c r="I241" s="46">
        <v>6.5217391304347824E-2</v>
      </c>
      <c r="J241" s="46">
        <v>7.4698795180722893E-2</v>
      </c>
      <c r="K241" s="6"/>
      <c r="L241" s="15">
        <f t="shared" si="62"/>
        <v>0.28183361629881154</v>
      </c>
      <c r="M241" s="15">
        <f t="shared" si="63"/>
        <v>1.3730355665839535</v>
      </c>
      <c r="N241" s="15">
        <f t="shared" si="64"/>
        <v>1.3266492298750363</v>
      </c>
      <c r="O241" s="15">
        <f t="shared" si="65"/>
        <v>0.87307152875175309</v>
      </c>
    </row>
    <row r="242" spans="3:15" x14ac:dyDescent="0.25">
      <c r="C242" s="63"/>
      <c r="D242" s="39">
        <v>4</v>
      </c>
      <c r="E242" s="68" t="s">
        <v>244</v>
      </c>
      <c r="F242" s="46">
        <v>4.2105263157894736E-2</v>
      </c>
      <c r="G242" s="46">
        <v>3.4188034188034191E-2</v>
      </c>
      <c r="H242" s="46">
        <v>0.18018018018018017</v>
      </c>
      <c r="I242" s="46">
        <v>0.10869565217391304</v>
      </c>
      <c r="J242" s="46">
        <v>9.1566265060240959E-2</v>
      </c>
      <c r="K242" s="6"/>
      <c r="L242" s="15">
        <f t="shared" si="62"/>
        <v>0.45983379501385041</v>
      </c>
      <c r="M242" s="15">
        <f t="shared" si="63"/>
        <v>0.37336932073774187</v>
      </c>
      <c r="N242" s="15">
        <f t="shared" si="64"/>
        <v>1.9677572309151257</v>
      </c>
      <c r="O242" s="15">
        <f t="shared" si="65"/>
        <v>1.187070938215103</v>
      </c>
    </row>
    <row r="243" spans="3:15" x14ac:dyDescent="0.25">
      <c r="C243" s="63"/>
      <c r="D243" s="39">
        <v>5</v>
      </c>
      <c r="E243" s="68" t="s">
        <v>244</v>
      </c>
      <c r="F243" s="46">
        <v>0.10526315789473684</v>
      </c>
      <c r="G243" s="46">
        <v>0.12820512820512819</v>
      </c>
      <c r="H243" s="46">
        <v>8.1081081081081086E-2</v>
      </c>
      <c r="I243" s="46">
        <v>8.6956521739130432E-2</v>
      </c>
      <c r="J243" s="46">
        <v>0.10120481927710843</v>
      </c>
      <c r="K243" s="6"/>
      <c r="L243" s="15">
        <f t="shared" si="62"/>
        <v>1.0401002506265664</v>
      </c>
      <c r="M243" s="15">
        <f t="shared" si="63"/>
        <v>1.2667887667887667</v>
      </c>
      <c r="N243" s="15">
        <f t="shared" si="64"/>
        <v>0.80115830115830122</v>
      </c>
      <c r="O243" s="15">
        <f t="shared" si="65"/>
        <v>0.85921325051759834</v>
      </c>
    </row>
    <row r="244" spans="3:15" x14ac:dyDescent="0.25">
      <c r="C244" s="63"/>
      <c r="D244" s="39">
        <v>6</v>
      </c>
      <c r="E244" s="68" t="s">
        <v>244</v>
      </c>
      <c r="F244" s="46">
        <v>0.1368421052631579</v>
      </c>
      <c r="G244" s="46">
        <v>0.13675213675213677</v>
      </c>
      <c r="H244" s="46">
        <v>9.90990990990991E-2</v>
      </c>
      <c r="I244" s="46">
        <v>9.7826086956521743E-2</v>
      </c>
      <c r="J244" s="46">
        <v>0.1180722891566265</v>
      </c>
      <c r="K244" s="6"/>
      <c r="L244" s="15">
        <f t="shared" si="62"/>
        <v>1.1589688506981741</v>
      </c>
      <c r="M244" s="15">
        <f t="shared" si="63"/>
        <v>1.1582068724925869</v>
      </c>
      <c r="N244" s="15">
        <f t="shared" si="64"/>
        <v>0.83930869645155359</v>
      </c>
      <c r="O244" s="15">
        <f t="shared" si="65"/>
        <v>0.82852706299911272</v>
      </c>
    </row>
    <row r="245" spans="3:15" x14ac:dyDescent="0.25">
      <c r="C245" s="63"/>
      <c r="D245" s="39">
        <v>7</v>
      </c>
      <c r="E245" s="68" t="s">
        <v>244</v>
      </c>
      <c r="F245" s="46">
        <v>0.12631578947368421</v>
      </c>
      <c r="G245" s="46">
        <v>7.6923076923076927E-2</v>
      </c>
      <c r="H245" s="46">
        <v>0.12612612612612611</v>
      </c>
      <c r="I245" s="46">
        <v>0.14130434782608695</v>
      </c>
      <c r="J245" s="46">
        <v>0.11566265060240964</v>
      </c>
      <c r="K245" s="6"/>
      <c r="L245" s="15">
        <f t="shared" ref="L245:L258" si="66">F245/$J245</f>
        <v>1.0921052631578947</v>
      </c>
      <c r="M245" s="15">
        <f t="shared" ref="M245:M258" si="67">G245/$J245</f>
        <v>0.66506410256410253</v>
      </c>
      <c r="N245" s="15">
        <f t="shared" ref="N245:N258" si="68">H245/$J245</f>
        <v>1.0904654654654653</v>
      </c>
      <c r="O245" s="15">
        <f t="shared" ref="O245:O257" si="69">I245/$J245</f>
        <v>1.22169384057971</v>
      </c>
    </row>
    <row r="246" spans="3:15" x14ac:dyDescent="0.25">
      <c r="C246" s="63"/>
      <c r="D246" s="39">
        <v>8</v>
      </c>
      <c r="E246" s="68" t="s">
        <v>244</v>
      </c>
      <c r="F246" s="46">
        <v>0.15789473684210525</v>
      </c>
      <c r="G246" s="46">
        <v>0.1111111111111111</v>
      </c>
      <c r="H246" s="46">
        <v>9.90990990990991E-2</v>
      </c>
      <c r="I246" s="46">
        <v>6.5217391304347824E-2</v>
      </c>
      <c r="J246" s="46">
        <v>0.10843373493975904</v>
      </c>
      <c r="K246" s="6"/>
      <c r="L246" s="15">
        <f t="shared" si="66"/>
        <v>1.4561403508771928</v>
      </c>
      <c r="M246" s="15">
        <f t="shared" si="67"/>
        <v>1.0246913580246912</v>
      </c>
      <c r="N246" s="15">
        <f t="shared" si="68"/>
        <v>0.91391391391391386</v>
      </c>
      <c r="O246" s="15">
        <f t="shared" si="69"/>
        <v>0.60144927536231885</v>
      </c>
    </row>
    <row r="247" spans="3:15" x14ac:dyDescent="0.25">
      <c r="C247" s="63"/>
      <c r="D247" s="39">
        <v>9</v>
      </c>
      <c r="E247" s="68" t="s">
        <v>244</v>
      </c>
      <c r="F247" s="46">
        <v>6.3157894736842107E-2</v>
      </c>
      <c r="G247" s="46">
        <v>0.1623931623931624</v>
      </c>
      <c r="H247" s="46">
        <v>5.4054054054054057E-2</v>
      </c>
      <c r="I247" s="46">
        <v>9.7826086956521743E-2</v>
      </c>
      <c r="J247" s="46">
        <v>9.6385542168674704E-2</v>
      </c>
      <c r="K247" s="6"/>
      <c r="L247" s="15">
        <f t="shared" si="66"/>
        <v>0.65526315789473688</v>
      </c>
      <c r="M247" s="15">
        <f t="shared" si="67"/>
        <v>1.6848290598290598</v>
      </c>
      <c r="N247" s="15">
        <f t="shared" si="68"/>
        <v>0.56081081081081086</v>
      </c>
      <c r="O247" s="15">
        <f t="shared" si="69"/>
        <v>1.0149456521739131</v>
      </c>
    </row>
    <row r="248" spans="3:15" x14ac:dyDescent="0.25">
      <c r="C248" s="63"/>
      <c r="D248" s="39">
        <v>10</v>
      </c>
      <c r="E248" s="68" t="s">
        <v>244</v>
      </c>
      <c r="F248" s="46">
        <v>0.18947368421052632</v>
      </c>
      <c r="G248" s="46">
        <v>0.1111111111111111</v>
      </c>
      <c r="H248" s="46">
        <v>4.5045045045045043E-2</v>
      </c>
      <c r="I248" s="46">
        <v>0.17391304347826086</v>
      </c>
      <c r="J248" s="46">
        <v>0.12530120481927712</v>
      </c>
      <c r="K248" s="6"/>
      <c r="L248" s="15">
        <f t="shared" si="66"/>
        <v>1.5121457489878543</v>
      </c>
      <c r="M248" s="15">
        <f t="shared" si="67"/>
        <v>0.8867521367521366</v>
      </c>
      <c r="N248" s="15">
        <f t="shared" si="68"/>
        <v>0.35949410949410943</v>
      </c>
      <c r="O248" s="15">
        <f t="shared" si="69"/>
        <v>1.3879598662207357</v>
      </c>
    </row>
    <row r="249" spans="3:15" x14ac:dyDescent="0.25">
      <c r="C249" s="63"/>
      <c r="D249" s="39">
        <v>1</v>
      </c>
      <c r="E249" s="67" t="s">
        <v>245</v>
      </c>
      <c r="F249" s="46">
        <v>5.2631578947368418E-2</v>
      </c>
      <c r="G249" s="46">
        <v>0.10256410256410256</v>
      </c>
      <c r="H249" s="46">
        <v>9.0090090090090086E-2</v>
      </c>
      <c r="I249" s="46">
        <v>0.10869565217391304</v>
      </c>
      <c r="J249" s="46">
        <v>8.91566265060241E-2</v>
      </c>
      <c r="K249" s="6"/>
      <c r="L249" s="15">
        <f t="shared" si="66"/>
        <v>0.59032716927453766</v>
      </c>
      <c r="M249" s="15">
        <f t="shared" si="67"/>
        <v>1.1503811503811503</v>
      </c>
      <c r="N249" s="15">
        <f t="shared" si="68"/>
        <v>1.0104699293888482</v>
      </c>
      <c r="O249" s="15">
        <f t="shared" si="69"/>
        <v>1.2191539365452408</v>
      </c>
    </row>
    <row r="250" spans="3:15" x14ac:dyDescent="0.25">
      <c r="C250" s="63"/>
      <c r="D250" s="39">
        <v>2</v>
      </c>
      <c r="E250" s="68" t="s">
        <v>245</v>
      </c>
      <c r="F250" s="46">
        <v>0.23157894736842105</v>
      </c>
      <c r="G250" s="46">
        <v>0.17094017094017094</v>
      </c>
      <c r="H250" s="46">
        <v>8.1081081081081086E-2</v>
      </c>
      <c r="I250" s="46">
        <v>0.15217391304347827</v>
      </c>
      <c r="J250" s="46">
        <v>0.15662650602409639</v>
      </c>
      <c r="K250" s="6"/>
      <c r="L250" s="15">
        <f t="shared" si="66"/>
        <v>1.4785425101214575</v>
      </c>
      <c r="M250" s="15">
        <f t="shared" si="67"/>
        <v>1.091387245233399</v>
      </c>
      <c r="N250" s="15">
        <f t="shared" si="68"/>
        <v>0.51767151767151764</v>
      </c>
      <c r="O250" s="15">
        <f t="shared" si="69"/>
        <v>0.97157190635451507</v>
      </c>
    </row>
    <row r="251" spans="3:15" x14ac:dyDescent="0.25">
      <c r="C251" s="63"/>
      <c r="D251" s="39">
        <v>3</v>
      </c>
      <c r="E251" s="68" t="s">
        <v>245</v>
      </c>
      <c r="F251" s="46">
        <v>6.3157894736842107E-2</v>
      </c>
      <c r="G251" s="46">
        <v>9.4017094017094016E-2</v>
      </c>
      <c r="H251" s="46">
        <v>2.7027027027027029E-2</v>
      </c>
      <c r="I251" s="46">
        <v>3.2608695652173912E-2</v>
      </c>
      <c r="J251" s="46">
        <v>5.5421686746987948E-2</v>
      </c>
      <c r="K251" s="6"/>
      <c r="L251" s="15">
        <f t="shared" si="66"/>
        <v>1.139588100686499</v>
      </c>
      <c r="M251" s="15">
        <f t="shared" si="67"/>
        <v>1.6963953920475661</v>
      </c>
      <c r="N251" s="15">
        <f t="shared" si="68"/>
        <v>0.48766157461809639</v>
      </c>
      <c r="O251" s="15">
        <f t="shared" si="69"/>
        <v>0.58837429111531192</v>
      </c>
    </row>
    <row r="252" spans="3:15" x14ac:dyDescent="0.25">
      <c r="C252" s="63"/>
      <c r="D252" s="39">
        <v>4</v>
      </c>
      <c r="E252" s="68" t="s">
        <v>245</v>
      </c>
      <c r="F252" s="46">
        <v>5.2631578947368418E-2</v>
      </c>
      <c r="G252" s="46">
        <v>0.11965811965811966</v>
      </c>
      <c r="H252" s="46">
        <v>4.5045045045045043E-2</v>
      </c>
      <c r="I252" s="46">
        <v>2.1739130434782608E-2</v>
      </c>
      <c r="J252" s="46">
        <v>6.2650602409638559E-2</v>
      </c>
      <c r="K252" s="6"/>
      <c r="L252" s="15">
        <f t="shared" si="66"/>
        <v>0.84008097165991891</v>
      </c>
      <c r="M252" s="15">
        <f t="shared" si="67"/>
        <v>1.9099276791584483</v>
      </c>
      <c r="N252" s="15">
        <f t="shared" si="68"/>
        <v>0.71898821898821885</v>
      </c>
      <c r="O252" s="15">
        <f t="shared" si="69"/>
        <v>0.34698996655518394</v>
      </c>
    </row>
    <row r="253" spans="3:15" x14ac:dyDescent="0.25">
      <c r="C253" s="63"/>
      <c r="D253" s="39">
        <v>5</v>
      </c>
      <c r="E253" s="68" t="s">
        <v>245</v>
      </c>
      <c r="F253" s="46">
        <v>6.3157894736842107E-2</v>
      </c>
      <c r="G253" s="46">
        <v>4.2735042735042736E-2</v>
      </c>
      <c r="H253" s="46">
        <v>0.10810810810810811</v>
      </c>
      <c r="I253" s="46">
        <v>7.6086956521739135E-2</v>
      </c>
      <c r="J253" s="46">
        <v>7.2289156626506021E-2</v>
      </c>
      <c r="K253" s="6"/>
      <c r="L253" s="15">
        <f t="shared" si="66"/>
        <v>0.87368421052631584</v>
      </c>
      <c r="M253" s="15">
        <f t="shared" si="67"/>
        <v>0.59116809116809121</v>
      </c>
      <c r="N253" s="15">
        <f t="shared" si="68"/>
        <v>1.4954954954954955</v>
      </c>
      <c r="O253" s="15">
        <f t="shared" si="69"/>
        <v>1.0525362318840581</v>
      </c>
    </row>
    <row r="254" spans="3:15" x14ac:dyDescent="0.25">
      <c r="C254" s="63"/>
      <c r="D254" s="39">
        <v>6</v>
      </c>
      <c r="E254" s="68" t="s">
        <v>245</v>
      </c>
      <c r="F254" s="46">
        <v>3.1578947368421054E-2</v>
      </c>
      <c r="G254" s="46">
        <v>7.6923076923076927E-2</v>
      </c>
      <c r="H254" s="46">
        <v>0.13513513513513514</v>
      </c>
      <c r="I254" s="46">
        <v>0.15217391304347827</v>
      </c>
      <c r="J254" s="46">
        <v>9.8795180722891562E-2</v>
      </c>
      <c r="K254" s="6"/>
      <c r="L254" s="15">
        <f t="shared" si="66"/>
        <v>0.31964056482670095</v>
      </c>
      <c r="M254" s="15">
        <f t="shared" si="67"/>
        <v>0.77861163227016894</v>
      </c>
      <c r="N254" s="15">
        <f t="shared" si="68"/>
        <v>1.3678312458800266</v>
      </c>
      <c r="O254" s="15">
        <f t="shared" si="69"/>
        <v>1.5402969247083778</v>
      </c>
    </row>
    <row r="255" spans="3:15" x14ac:dyDescent="0.25">
      <c r="C255" s="63"/>
      <c r="D255" s="39">
        <v>7</v>
      </c>
      <c r="E255" s="68" t="s">
        <v>245</v>
      </c>
      <c r="F255" s="46">
        <v>2.1052631578947368E-2</v>
      </c>
      <c r="G255" s="46">
        <v>4.2735042735042736E-2</v>
      </c>
      <c r="H255" s="46">
        <v>0.1891891891891892</v>
      </c>
      <c r="I255" s="46">
        <v>7.6086956521739135E-2</v>
      </c>
      <c r="J255" s="46">
        <v>8.4337349397590355E-2</v>
      </c>
      <c r="K255" s="6"/>
      <c r="L255" s="15">
        <f t="shared" si="66"/>
        <v>0.24962406015037594</v>
      </c>
      <c r="M255" s="15">
        <f t="shared" si="67"/>
        <v>0.5067155067155068</v>
      </c>
      <c r="N255" s="15">
        <f t="shared" si="68"/>
        <v>2.2432432432432434</v>
      </c>
      <c r="O255" s="15">
        <f t="shared" si="69"/>
        <v>0.90217391304347838</v>
      </c>
    </row>
    <row r="256" spans="3:15" x14ac:dyDescent="0.25">
      <c r="C256" s="63"/>
      <c r="D256" s="39">
        <v>8</v>
      </c>
      <c r="E256" s="68" t="s">
        <v>245</v>
      </c>
      <c r="F256" s="46">
        <v>8.4210526315789472E-2</v>
      </c>
      <c r="G256" s="46">
        <v>0.10256410256410256</v>
      </c>
      <c r="H256" s="46">
        <v>0.13513513513513514</v>
      </c>
      <c r="I256" s="46">
        <v>0.21739130434782608</v>
      </c>
      <c r="J256" s="46">
        <v>0.13253012048192772</v>
      </c>
      <c r="K256" s="6"/>
      <c r="L256" s="15">
        <f t="shared" si="66"/>
        <v>0.6354066985645932</v>
      </c>
      <c r="M256" s="15">
        <f t="shared" si="67"/>
        <v>0.77389277389277378</v>
      </c>
      <c r="N256" s="15">
        <f t="shared" si="68"/>
        <v>1.0196560196560196</v>
      </c>
      <c r="O256" s="15">
        <f t="shared" si="69"/>
        <v>1.6403162055335967</v>
      </c>
    </row>
    <row r="257" spans="3:15" x14ac:dyDescent="0.25">
      <c r="C257" s="63"/>
      <c r="D257" s="39">
        <v>9</v>
      </c>
      <c r="E257" s="68" t="s">
        <v>245</v>
      </c>
      <c r="F257" s="46">
        <v>0.10526315789473684</v>
      </c>
      <c r="G257" s="46">
        <v>0.10256410256410256</v>
      </c>
      <c r="H257" s="46">
        <v>0.11711711711711711</v>
      </c>
      <c r="I257" s="46">
        <v>0.10869565217391304</v>
      </c>
      <c r="J257" s="46">
        <v>0.10843373493975904</v>
      </c>
      <c r="K257" s="6"/>
      <c r="L257" s="15">
        <f t="shared" si="66"/>
        <v>0.9707602339181286</v>
      </c>
      <c r="M257" s="15">
        <f t="shared" si="67"/>
        <v>0.94586894586894577</v>
      </c>
      <c r="N257" s="15">
        <f t="shared" si="68"/>
        <v>1.0800800800800801</v>
      </c>
      <c r="O257" s="15">
        <f t="shared" si="69"/>
        <v>1.0024154589371981</v>
      </c>
    </row>
    <row r="258" spans="3:15" x14ac:dyDescent="0.25">
      <c r="C258" s="64"/>
      <c r="D258" s="39">
        <v>10</v>
      </c>
      <c r="E258" s="66" t="s">
        <v>245</v>
      </c>
      <c r="F258" s="46">
        <v>0.29473684210526313</v>
      </c>
      <c r="G258" s="46">
        <v>0.14529914529914531</v>
      </c>
      <c r="H258" s="46">
        <v>7.2072072072072071E-2</v>
      </c>
      <c r="I258" s="46">
        <v>5.434782608695652E-2</v>
      </c>
      <c r="J258" s="46">
        <v>0.13975903614457832</v>
      </c>
      <c r="K258" s="6"/>
      <c r="L258" s="15">
        <f t="shared" si="66"/>
        <v>2.1088929219600723</v>
      </c>
      <c r="M258" s="15">
        <f t="shared" si="67"/>
        <v>1.0396404361921603</v>
      </c>
      <c r="N258" s="15">
        <f t="shared" si="68"/>
        <v>0.51568810189499836</v>
      </c>
      <c r="O258" s="15">
        <f>I258/$J258</f>
        <v>0.38886806596701645</v>
      </c>
    </row>
    <row r="259" spans="3:15" x14ac:dyDescent="0.25">
      <c r="K259" s="6"/>
    </row>
    <row r="260" spans="3:15" x14ac:dyDescent="0.25">
      <c r="K260" s="6"/>
    </row>
    <row r="261" spans="3:15" x14ac:dyDescent="0.25">
      <c r="C261" s="130" t="s">
        <v>369</v>
      </c>
      <c r="D261" s="39">
        <v>1</v>
      </c>
      <c r="E261" s="48" t="s">
        <v>340</v>
      </c>
      <c r="F261" s="46">
        <v>0.33684210526315789</v>
      </c>
      <c r="G261" s="46">
        <v>0.78632478632478631</v>
      </c>
      <c r="H261" s="46">
        <v>0.66666666666666663</v>
      </c>
      <c r="I261" s="46">
        <v>0.13043478260869565</v>
      </c>
      <c r="J261" s="46">
        <v>0.50602409638554213</v>
      </c>
      <c r="K261" s="6"/>
      <c r="L261" s="15">
        <f t="shared" ref="L261:O267" si="70">F261/$J261</f>
        <v>0.66566416040100251</v>
      </c>
      <c r="M261" s="15">
        <f t="shared" si="70"/>
        <v>1.5539275539275541</v>
      </c>
      <c r="N261" s="15">
        <f t="shared" si="70"/>
        <v>1.3174603174603174</v>
      </c>
      <c r="O261" s="15">
        <f t="shared" si="70"/>
        <v>0.25776397515527949</v>
      </c>
    </row>
    <row r="262" spans="3:15" x14ac:dyDescent="0.25">
      <c r="C262" s="131"/>
      <c r="D262" s="39">
        <v>2</v>
      </c>
      <c r="E262" s="48" t="s">
        <v>341</v>
      </c>
      <c r="F262" s="46">
        <v>0.49473684210526314</v>
      </c>
      <c r="G262" s="46">
        <v>0.87179487179487181</v>
      </c>
      <c r="H262" s="46">
        <v>0.83783783783783783</v>
      </c>
      <c r="I262" s="46">
        <v>0.28260869565217389</v>
      </c>
      <c r="J262" s="46">
        <v>0.64578313253012043</v>
      </c>
      <c r="K262" s="6"/>
      <c r="L262" s="15">
        <f t="shared" si="70"/>
        <v>0.76610369206598594</v>
      </c>
      <c r="M262" s="15">
        <f t="shared" si="70"/>
        <v>1.3499808649062381</v>
      </c>
      <c r="N262" s="15">
        <f t="shared" si="70"/>
        <v>1.2973981444130698</v>
      </c>
      <c r="O262" s="15">
        <f t="shared" si="70"/>
        <v>0.43762167423750814</v>
      </c>
    </row>
    <row r="263" spans="3:15" x14ac:dyDescent="0.25">
      <c r="C263" s="131"/>
      <c r="D263" s="39">
        <v>3</v>
      </c>
      <c r="E263" s="48" t="s">
        <v>342</v>
      </c>
      <c r="F263" s="46">
        <v>0.4</v>
      </c>
      <c r="G263" s="46">
        <v>0.71794871794871795</v>
      </c>
      <c r="H263" s="46">
        <v>0.51351351351351349</v>
      </c>
      <c r="I263" s="46">
        <v>0.10869565217391304</v>
      </c>
      <c r="J263" s="46">
        <v>0.45542168674698796</v>
      </c>
      <c r="K263" s="6"/>
      <c r="L263" s="15">
        <f t="shared" si="70"/>
        <v>0.87830687830687837</v>
      </c>
      <c r="M263" s="15">
        <f t="shared" si="70"/>
        <v>1.5764482431149098</v>
      </c>
      <c r="N263" s="15">
        <f t="shared" si="70"/>
        <v>1.1275561275561274</v>
      </c>
      <c r="O263" s="15">
        <f t="shared" si="70"/>
        <v>0.23867034736599951</v>
      </c>
    </row>
    <row r="264" spans="3:15" x14ac:dyDescent="0.25">
      <c r="C264" s="131"/>
      <c r="D264" s="39">
        <v>4</v>
      </c>
      <c r="E264" s="48" t="s">
        <v>343</v>
      </c>
      <c r="F264" s="46">
        <v>0.25263157894736843</v>
      </c>
      <c r="G264" s="46">
        <v>0.28205128205128205</v>
      </c>
      <c r="H264" s="46">
        <v>0.31531531531531531</v>
      </c>
      <c r="I264" s="46">
        <v>0.2608695652173913</v>
      </c>
      <c r="J264" s="46">
        <v>0.27951807228915665</v>
      </c>
      <c r="K264" s="6"/>
      <c r="L264" s="15">
        <f t="shared" si="70"/>
        <v>0.90381125226860248</v>
      </c>
      <c r="M264" s="15">
        <f t="shared" si="70"/>
        <v>1.0090627763041555</v>
      </c>
      <c r="N264" s="15">
        <f t="shared" si="70"/>
        <v>1.1280677228953091</v>
      </c>
      <c r="O264" s="15">
        <f t="shared" si="70"/>
        <v>0.93328335832083953</v>
      </c>
    </row>
    <row r="265" spans="3:15" x14ac:dyDescent="0.25">
      <c r="C265" s="131"/>
      <c r="D265" s="39">
        <v>5</v>
      </c>
      <c r="E265" s="48" t="s">
        <v>344</v>
      </c>
      <c r="F265" s="46">
        <v>0.38947368421052631</v>
      </c>
      <c r="G265" s="46">
        <v>0.69230769230769229</v>
      </c>
      <c r="H265" s="46">
        <v>0.65765765765765771</v>
      </c>
      <c r="I265" s="46">
        <v>0.22826086956521738</v>
      </c>
      <c r="J265" s="46">
        <v>0.51084337349397591</v>
      </c>
      <c r="K265" s="6"/>
      <c r="L265" s="15">
        <f t="shared" si="70"/>
        <v>0.76241310824230391</v>
      </c>
      <c r="M265" s="15">
        <f t="shared" si="70"/>
        <v>1.3552249637155298</v>
      </c>
      <c r="N265" s="15">
        <f t="shared" si="70"/>
        <v>1.2873958864524904</v>
      </c>
      <c r="O265" s="15">
        <f t="shared" si="70"/>
        <v>0.44683141919606234</v>
      </c>
    </row>
    <row r="266" spans="3:15" x14ac:dyDescent="0.25">
      <c r="C266" s="131"/>
      <c r="D266" s="39">
        <v>6</v>
      </c>
      <c r="E266" s="48" t="s">
        <v>345</v>
      </c>
      <c r="F266" s="46">
        <v>0.3473684210526316</v>
      </c>
      <c r="G266" s="46">
        <v>0.62393162393162394</v>
      </c>
      <c r="H266" s="46">
        <v>0.50450450450450446</v>
      </c>
      <c r="I266" s="46">
        <v>0.29347826086956524</v>
      </c>
      <c r="J266" s="46">
        <v>0.45542168674698796</v>
      </c>
      <c r="K266" s="6"/>
      <c r="L266" s="15">
        <f t="shared" si="70"/>
        <v>0.76274018379281538</v>
      </c>
      <c r="M266" s="15">
        <f t="shared" si="70"/>
        <v>1.3700085922308145</v>
      </c>
      <c r="N266" s="15">
        <f t="shared" si="70"/>
        <v>1.1077744411077743</v>
      </c>
      <c r="O266" s="15">
        <f t="shared" si="70"/>
        <v>0.64440993788819878</v>
      </c>
    </row>
    <row r="267" spans="3:15" x14ac:dyDescent="0.25">
      <c r="C267" s="131"/>
      <c r="D267" s="39">
        <v>7</v>
      </c>
      <c r="E267" s="48" t="s">
        <v>346</v>
      </c>
      <c r="F267" s="46">
        <v>0.55789473684210522</v>
      </c>
      <c r="G267" s="46">
        <v>0.69230769230769229</v>
      </c>
      <c r="H267" s="46">
        <v>0.60360360360360366</v>
      </c>
      <c r="I267" s="46">
        <v>0.31521739130434784</v>
      </c>
      <c r="J267" s="46">
        <v>0.55421686746987953</v>
      </c>
      <c r="K267" s="6"/>
      <c r="L267" s="15">
        <f t="shared" si="70"/>
        <v>1.0066361556064072</v>
      </c>
      <c r="M267" s="15">
        <f t="shared" si="70"/>
        <v>1.2491638795986622</v>
      </c>
      <c r="N267" s="15">
        <f t="shared" si="70"/>
        <v>1.0891108499804152</v>
      </c>
      <c r="O267" s="15">
        <f t="shared" si="70"/>
        <v>0.56876181474480147</v>
      </c>
    </row>
    <row r="268" spans="3:15" x14ac:dyDescent="0.25">
      <c r="C268" s="131"/>
      <c r="D268" s="39">
        <v>8</v>
      </c>
      <c r="E268" s="48" t="s">
        <v>347</v>
      </c>
      <c r="F268" s="46">
        <v>0.29473684210526313</v>
      </c>
      <c r="G268" s="46">
        <v>0.41025641025641024</v>
      </c>
      <c r="H268" s="46">
        <v>0.23423423423423423</v>
      </c>
      <c r="I268" s="46">
        <v>0.22826086956521738</v>
      </c>
      <c r="J268" s="46">
        <v>0.29638554216867469</v>
      </c>
      <c r="K268" s="6"/>
      <c r="L268" s="15">
        <f t="shared" ref="L268:L269" si="71">F268/$J268</f>
        <v>0.99443731279418057</v>
      </c>
      <c r="M268" s="15">
        <f t="shared" ref="M268:M269" si="72">G268/$J268</f>
        <v>1.384198457369189</v>
      </c>
      <c r="N268" s="15">
        <f t="shared" ref="N268:N269" si="73">H268/$J268</f>
        <v>0.79030249761957083</v>
      </c>
      <c r="O268" s="15">
        <f t="shared" ref="O268:O269" si="74">I268/$J268</f>
        <v>0.77014846235418877</v>
      </c>
    </row>
    <row r="269" spans="3:15" x14ac:dyDescent="0.25">
      <c r="C269" s="131"/>
      <c r="D269" s="39">
        <v>9</v>
      </c>
      <c r="E269" s="48" t="s">
        <v>348</v>
      </c>
      <c r="F269" s="46">
        <v>0.43157894736842106</v>
      </c>
      <c r="G269" s="46">
        <v>0.63247863247863245</v>
      </c>
      <c r="H269" s="46">
        <v>0.61261261261261257</v>
      </c>
      <c r="I269" s="46">
        <v>0.33695652173913043</v>
      </c>
      <c r="J269" s="46">
        <v>0.51566265060240968</v>
      </c>
      <c r="K269" s="6"/>
      <c r="L269" s="15">
        <f t="shared" si="71"/>
        <v>0.83694048204623706</v>
      </c>
      <c r="M269" s="15">
        <f t="shared" si="72"/>
        <v>1.226535665788002</v>
      </c>
      <c r="N269" s="15">
        <f t="shared" si="73"/>
        <v>1.1880104403468887</v>
      </c>
      <c r="O269" s="15">
        <f t="shared" si="74"/>
        <v>0.65344372206420154</v>
      </c>
    </row>
    <row r="270" spans="3:15" x14ac:dyDescent="0.25">
      <c r="C270" s="131"/>
      <c r="D270" s="39">
        <v>10</v>
      </c>
      <c r="E270" s="48" t="s">
        <v>349</v>
      </c>
      <c r="F270" s="46">
        <v>0.41052631578947368</v>
      </c>
      <c r="G270" s="46">
        <v>0.76923076923076927</v>
      </c>
      <c r="H270" s="46">
        <v>0.72072072072072069</v>
      </c>
      <c r="I270" s="46">
        <v>0.28260869565217389</v>
      </c>
      <c r="J270" s="46">
        <v>0.5662650602409639</v>
      </c>
      <c r="K270" s="6"/>
      <c r="L270" s="15">
        <f t="shared" ref="L270:L281" si="75">F270/$J270</f>
        <v>0.72497200447928323</v>
      </c>
      <c r="M270" s="15">
        <f t="shared" ref="M270:M281" si="76">G270/$J270</f>
        <v>1.3584288052373159</v>
      </c>
      <c r="N270" s="15">
        <f t="shared" ref="N270:N281" si="77">H270/$J270</f>
        <v>1.2727621238259534</v>
      </c>
      <c r="O270" s="15">
        <f t="shared" ref="O270:O281" si="78">I270/$J270</f>
        <v>0.49907493061979641</v>
      </c>
    </row>
    <row r="271" spans="3:15" x14ac:dyDescent="0.25">
      <c r="C271" s="131"/>
      <c r="D271" s="39">
        <v>11</v>
      </c>
      <c r="E271" s="48" t="s">
        <v>350</v>
      </c>
      <c r="F271" s="46">
        <v>0.51578947368421058</v>
      </c>
      <c r="G271" s="46">
        <v>0.79487179487179482</v>
      </c>
      <c r="H271" s="46">
        <v>0.7927927927927928</v>
      </c>
      <c r="I271" s="46">
        <v>0.2608695652173913</v>
      </c>
      <c r="J271" s="46">
        <v>0.61204819277108435</v>
      </c>
      <c r="K271" s="6"/>
      <c r="L271" s="15">
        <f t="shared" si="75"/>
        <v>0.84272689598010786</v>
      </c>
      <c r="M271" s="15">
        <f t="shared" si="76"/>
        <v>1.298707853825964</v>
      </c>
      <c r="N271" s="15">
        <f t="shared" si="77"/>
        <v>1.2953110590905865</v>
      </c>
      <c r="O271" s="15">
        <f t="shared" si="78"/>
        <v>0.4262238959260527</v>
      </c>
    </row>
    <row r="272" spans="3:15" x14ac:dyDescent="0.25">
      <c r="C272" s="131"/>
      <c r="D272" s="39">
        <v>12</v>
      </c>
      <c r="E272" s="48" t="s">
        <v>351</v>
      </c>
      <c r="F272" s="46">
        <v>0.42105263157894735</v>
      </c>
      <c r="G272" s="46">
        <v>0.74358974358974361</v>
      </c>
      <c r="H272" s="46">
        <v>0.72072072072072069</v>
      </c>
      <c r="I272" s="46">
        <v>0.29347826086956524</v>
      </c>
      <c r="J272" s="46">
        <v>0.56385542168674696</v>
      </c>
      <c r="K272" s="6"/>
      <c r="L272" s="15">
        <f t="shared" si="75"/>
        <v>0.74673864147548352</v>
      </c>
      <c r="M272" s="15">
        <f t="shared" si="76"/>
        <v>1.3187595879903573</v>
      </c>
      <c r="N272" s="15">
        <f t="shared" si="77"/>
        <v>1.2782012782012782</v>
      </c>
      <c r="O272" s="15">
        <f t="shared" si="78"/>
        <v>0.52048494983277604</v>
      </c>
    </row>
    <row r="273" spans="3:15" x14ac:dyDescent="0.25">
      <c r="C273" s="131"/>
      <c r="D273" s="39">
        <v>13</v>
      </c>
      <c r="E273" s="48" t="s">
        <v>352</v>
      </c>
      <c r="F273" s="46">
        <v>0.6</v>
      </c>
      <c r="G273" s="46">
        <v>0.78632478632478631</v>
      </c>
      <c r="H273" s="46">
        <v>0.73873873873873874</v>
      </c>
      <c r="I273" s="46">
        <v>0.36956521739130432</v>
      </c>
      <c r="J273" s="46">
        <v>0.63855421686746983</v>
      </c>
      <c r="K273" s="6"/>
      <c r="L273" s="15">
        <f t="shared" si="75"/>
        <v>0.93962264150943398</v>
      </c>
      <c r="M273" s="15">
        <f t="shared" si="76"/>
        <v>1.2314142880180616</v>
      </c>
      <c r="N273" s="15">
        <f t="shared" si="77"/>
        <v>1.1568927417984023</v>
      </c>
      <c r="O273" s="15">
        <f t="shared" si="78"/>
        <v>0.57875307629204265</v>
      </c>
    </row>
    <row r="274" spans="3:15" x14ac:dyDescent="0.25">
      <c r="C274" s="131"/>
      <c r="D274" s="39">
        <v>14</v>
      </c>
      <c r="E274" s="48" t="s">
        <v>353</v>
      </c>
      <c r="F274" s="46">
        <v>0.55789473684210522</v>
      </c>
      <c r="G274" s="46">
        <v>0.71794871794871795</v>
      </c>
      <c r="H274" s="46">
        <v>0.63963963963963966</v>
      </c>
      <c r="I274" s="46">
        <v>0.31521739130434784</v>
      </c>
      <c r="J274" s="46">
        <v>0.57108433734939756</v>
      </c>
      <c r="K274" s="6"/>
      <c r="L274" s="15">
        <f t="shared" si="75"/>
        <v>0.97690428603153445</v>
      </c>
      <c r="M274" s="15">
        <f t="shared" si="76"/>
        <v>1.2571675862815104</v>
      </c>
      <c r="N274" s="15">
        <f t="shared" si="77"/>
        <v>1.1200440947276391</v>
      </c>
      <c r="O274" s="15">
        <f t="shared" si="78"/>
        <v>0.55196294257934331</v>
      </c>
    </row>
    <row r="275" spans="3:15" x14ac:dyDescent="0.25">
      <c r="C275" s="131"/>
      <c r="D275" s="39">
        <v>15</v>
      </c>
      <c r="E275" s="48" t="s">
        <v>354</v>
      </c>
      <c r="F275" s="46">
        <v>0.26315789473684209</v>
      </c>
      <c r="G275" s="46">
        <v>0.36752136752136755</v>
      </c>
      <c r="H275" s="46">
        <v>0.36936936936936937</v>
      </c>
      <c r="I275" s="46">
        <v>0.2391304347826087</v>
      </c>
      <c r="J275" s="46">
        <v>0.31566265060240961</v>
      </c>
      <c r="K275" s="6"/>
      <c r="L275" s="15">
        <f t="shared" si="75"/>
        <v>0.83366813981518684</v>
      </c>
      <c r="M275" s="15">
        <f t="shared" si="76"/>
        <v>1.1642852482547141</v>
      </c>
      <c r="N275" s="15">
        <f t="shared" si="77"/>
        <v>1.1701396052541091</v>
      </c>
      <c r="O275" s="15">
        <f t="shared" si="78"/>
        <v>0.75755061400597423</v>
      </c>
    </row>
    <row r="276" spans="3:15" x14ac:dyDescent="0.25">
      <c r="C276" s="131"/>
      <c r="D276" s="39">
        <v>16</v>
      </c>
      <c r="E276" s="48" t="s">
        <v>355</v>
      </c>
      <c r="F276" s="46">
        <v>0.10526315789473684</v>
      </c>
      <c r="G276" s="46">
        <v>9.4017094017094016E-2</v>
      </c>
      <c r="H276" s="46">
        <v>8.1081081081081086E-2</v>
      </c>
      <c r="I276" s="46">
        <v>0.10869565217391304</v>
      </c>
      <c r="J276" s="46">
        <v>9.6385542168674704E-2</v>
      </c>
      <c r="K276" s="6"/>
      <c r="L276" s="15">
        <f t="shared" si="75"/>
        <v>1.0921052631578947</v>
      </c>
      <c r="M276" s="15">
        <f t="shared" si="76"/>
        <v>0.9754273504273504</v>
      </c>
      <c r="N276" s="15">
        <f t="shared" si="77"/>
        <v>0.84121621621621623</v>
      </c>
      <c r="O276" s="15">
        <f t="shared" si="78"/>
        <v>1.1277173913043477</v>
      </c>
    </row>
    <row r="277" spans="3:15" x14ac:dyDescent="0.25">
      <c r="C277" s="131"/>
      <c r="D277" s="39">
        <v>17</v>
      </c>
      <c r="E277" s="48" t="s">
        <v>356</v>
      </c>
      <c r="F277" s="46">
        <v>0.51578947368421058</v>
      </c>
      <c r="G277" s="46">
        <v>0.68376068376068377</v>
      </c>
      <c r="H277" s="46">
        <v>0.70270270270270274</v>
      </c>
      <c r="I277" s="46">
        <v>0.35869565217391303</v>
      </c>
      <c r="J277" s="46">
        <v>0.57831325301204817</v>
      </c>
      <c r="K277" s="6"/>
      <c r="L277" s="15">
        <f t="shared" si="75"/>
        <v>0.89188596491228078</v>
      </c>
      <c r="M277" s="15">
        <f t="shared" si="76"/>
        <v>1.1823361823361824</v>
      </c>
      <c r="N277" s="15">
        <f t="shared" si="77"/>
        <v>1.2150900900900903</v>
      </c>
      <c r="O277" s="15">
        <f t="shared" si="78"/>
        <v>0.62024456521739135</v>
      </c>
    </row>
    <row r="278" spans="3:15" x14ac:dyDescent="0.25">
      <c r="C278" s="131"/>
      <c r="D278" s="39">
        <v>18</v>
      </c>
      <c r="E278" s="48" t="s">
        <v>357</v>
      </c>
      <c r="F278" s="46">
        <v>0.43157894736842106</v>
      </c>
      <c r="G278" s="46">
        <v>0.6495726495726496</v>
      </c>
      <c r="H278" s="46">
        <v>0.54054054054054057</v>
      </c>
      <c r="I278" s="46">
        <v>0.18478260869565216</v>
      </c>
      <c r="J278" s="46">
        <v>0.46746987951807228</v>
      </c>
      <c r="K278" s="6"/>
      <c r="L278" s="15">
        <f t="shared" si="75"/>
        <v>0.92322300596852958</v>
      </c>
      <c r="M278" s="15">
        <f t="shared" si="76"/>
        <v>1.3895497400652042</v>
      </c>
      <c r="N278" s="15">
        <f t="shared" si="77"/>
        <v>1.1563109501253832</v>
      </c>
      <c r="O278" s="15">
        <f t="shared" si="78"/>
        <v>0.39528238458090542</v>
      </c>
    </row>
    <row r="279" spans="3:15" x14ac:dyDescent="0.25">
      <c r="C279" s="131"/>
      <c r="D279" s="39">
        <v>19</v>
      </c>
      <c r="E279" s="48" t="s">
        <v>358</v>
      </c>
      <c r="F279" s="46">
        <v>0.10526315789473684</v>
      </c>
      <c r="G279" s="46">
        <v>0.3247863247863248</v>
      </c>
      <c r="H279" s="46">
        <v>0.27927927927927926</v>
      </c>
      <c r="I279" s="46">
        <v>0.14130434782608695</v>
      </c>
      <c r="J279" s="46">
        <v>0.22168674698795179</v>
      </c>
      <c r="K279" s="6"/>
      <c r="L279" s="15">
        <f t="shared" si="75"/>
        <v>0.47482837528604122</v>
      </c>
      <c r="M279" s="15">
        <f t="shared" si="76"/>
        <v>1.4650687476774436</v>
      </c>
      <c r="N279" s="15">
        <f t="shared" si="77"/>
        <v>1.2597924010967489</v>
      </c>
      <c r="O279" s="15">
        <f t="shared" si="78"/>
        <v>0.63740548204158787</v>
      </c>
    </row>
    <row r="280" spans="3:15" x14ac:dyDescent="0.25">
      <c r="C280" s="131"/>
      <c r="D280" s="39">
        <v>20</v>
      </c>
      <c r="E280" s="48" t="s">
        <v>359</v>
      </c>
      <c r="F280" s="46">
        <v>0.22105263157894736</v>
      </c>
      <c r="G280" s="46">
        <v>0.41880341880341881</v>
      </c>
      <c r="H280" s="46">
        <v>0.38738738738738737</v>
      </c>
      <c r="I280" s="46">
        <v>0.14130434782608695</v>
      </c>
      <c r="J280" s="46">
        <v>0.30361445783132529</v>
      </c>
      <c r="K280" s="6"/>
      <c r="L280" s="15">
        <f t="shared" si="75"/>
        <v>0.72807017543859653</v>
      </c>
      <c r="M280" s="15">
        <f t="shared" si="76"/>
        <v>1.3793922127255462</v>
      </c>
      <c r="N280" s="15">
        <f t="shared" si="77"/>
        <v>1.275918775918776</v>
      </c>
      <c r="O280" s="15">
        <f t="shared" si="78"/>
        <v>0.46540717736369908</v>
      </c>
    </row>
    <row r="281" spans="3:15" x14ac:dyDescent="0.25">
      <c r="C281" s="132"/>
      <c r="D281" s="39">
        <v>21</v>
      </c>
      <c r="E281" s="48" t="s">
        <v>360</v>
      </c>
      <c r="F281" s="46">
        <v>0.23157894736842105</v>
      </c>
      <c r="G281" s="46">
        <v>0.42735042735042733</v>
      </c>
      <c r="H281" s="46">
        <v>0.31531531531531531</v>
      </c>
      <c r="I281" s="46">
        <v>8.6956521739130432E-2</v>
      </c>
      <c r="J281" s="46">
        <v>0.27710843373493976</v>
      </c>
      <c r="K281" s="6"/>
      <c r="L281" s="15">
        <f t="shared" si="75"/>
        <v>0.83569794050343249</v>
      </c>
      <c r="M281" s="15">
        <f t="shared" si="76"/>
        <v>1.5421776291341507</v>
      </c>
      <c r="N281" s="15">
        <f t="shared" si="77"/>
        <v>1.1378770074422249</v>
      </c>
      <c r="O281" s="15">
        <f t="shared" si="78"/>
        <v>0.31379962192816635</v>
      </c>
    </row>
    <row r="282" spans="3:15" x14ac:dyDescent="0.25">
      <c r="K282" s="6"/>
    </row>
    <row r="283" spans="3:15" x14ac:dyDescent="0.25">
      <c r="K283" s="6"/>
    </row>
    <row r="284" spans="3:15" x14ac:dyDescent="0.25">
      <c r="K284" s="6"/>
    </row>
    <row r="285" spans="3:15" x14ac:dyDescent="0.25">
      <c r="K285" s="6"/>
    </row>
    <row r="286" spans="3:15" x14ac:dyDescent="0.25">
      <c r="K286" s="6"/>
    </row>
    <row r="287" spans="3:15" x14ac:dyDescent="0.25">
      <c r="K287" s="6"/>
    </row>
    <row r="288" spans="3:15" x14ac:dyDescent="0.25">
      <c r="K288" s="6"/>
    </row>
    <row r="289" spans="11:11" x14ac:dyDescent="0.25">
      <c r="K289" s="6"/>
    </row>
    <row r="290" spans="11:11" x14ac:dyDescent="0.25">
      <c r="K290" s="6"/>
    </row>
    <row r="291" spans="11:11" x14ac:dyDescent="0.25">
      <c r="K291" s="6"/>
    </row>
    <row r="292" spans="11:11" x14ac:dyDescent="0.25">
      <c r="K292" s="6"/>
    </row>
    <row r="293" spans="11:11" x14ac:dyDescent="0.25">
      <c r="K293" s="6"/>
    </row>
    <row r="294" spans="11:11" x14ac:dyDescent="0.25">
      <c r="K294" s="6"/>
    </row>
    <row r="295" spans="11:11" x14ac:dyDescent="0.25">
      <c r="K295" s="6"/>
    </row>
    <row r="296" spans="11:11" x14ac:dyDescent="0.25">
      <c r="K296" s="6"/>
    </row>
    <row r="297" spans="11:11" x14ac:dyDescent="0.25">
      <c r="K297" s="6"/>
    </row>
    <row r="298" spans="11:11" x14ac:dyDescent="0.25">
      <c r="K298" s="6"/>
    </row>
    <row r="299" spans="11:11" x14ac:dyDescent="0.25">
      <c r="K299" s="6"/>
    </row>
    <row r="300" spans="11:11" x14ac:dyDescent="0.25">
      <c r="K300" s="6"/>
    </row>
    <row r="301" spans="11:11" x14ac:dyDescent="0.25">
      <c r="K301" s="6"/>
    </row>
    <row r="302" spans="11:11" x14ac:dyDescent="0.25">
      <c r="K302" s="6"/>
    </row>
    <row r="303" spans="11:11" x14ac:dyDescent="0.25">
      <c r="K303" s="6"/>
    </row>
    <row r="304" spans="11:11" x14ac:dyDescent="0.25">
      <c r="K304" s="6"/>
    </row>
    <row r="305" spans="11:11" x14ac:dyDescent="0.25">
      <c r="K305" s="6"/>
    </row>
    <row r="306" spans="11:11" x14ac:dyDescent="0.25">
      <c r="K306" s="6"/>
    </row>
    <row r="307" spans="11:11" x14ac:dyDescent="0.25">
      <c r="K307" s="6"/>
    </row>
    <row r="308" spans="11:11" x14ac:dyDescent="0.25">
      <c r="K308" s="6"/>
    </row>
    <row r="309" spans="11:11" x14ac:dyDescent="0.25">
      <c r="K309" s="6"/>
    </row>
    <row r="310" spans="11:11" x14ac:dyDescent="0.25">
      <c r="K310" s="6"/>
    </row>
    <row r="311" spans="11:11" x14ac:dyDescent="0.25">
      <c r="K311" s="6"/>
    </row>
    <row r="312" spans="11:11" x14ac:dyDescent="0.25">
      <c r="K312" s="6"/>
    </row>
    <row r="313" spans="11:11" x14ac:dyDescent="0.25">
      <c r="K313" s="6"/>
    </row>
    <row r="314" spans="11:11" x14ac:dyDescent="0.25">
      <c r="K314" s="6"/>
    </row>
    <row r="315" spans="11:11" x14ac:dyDescent="0.25">
      <c r="K315" s="6"/>
    </row>
    <row r="316" spans="11:11" x14ac:dyDescent="0.25">
      <c r="K316" s="6"/>
    </row>
    <row r="317" spans="11:11" x14ac:dyDescent="0.25">
      <c r="K317" s="6"/>
    </row>
    <row r="318" spans="11:11" x14ac:dyDescent="0.25">
      <c r="K318" s="6"/>
    </row>
    <row r="319" spans="11:11" x14ac:dyDescent="0.25">
      <c r="K319" s="6"/>
    </row>
    <row r="320" spans="11:11" x14ac:dyDescent="0.25">
      <c r="K320" s="6"/>
    </row>
    <row r="321" spans="11:11" x14ac:dyDescent="0.25">
      <c r="K321" s="6"/>
    </row>
    <row r="322" spans="11:11" x14ac:dyDescent="0.25">
      <c r="K322" s="6"/>
    </row>
    <row r="323" spans="11:11" x14ac:dyDescent="0.25">
      <c r="K323" s="6"/>
    </row>
    <row r="324" spans="11:11" x14ac:dyDescent="0.25">
      <c r="K324" s="6"/>
    </row>
    <row r="325" spans="11:11" x14ac:dyDescent="0.25">
      <c r="K325" s="6"/>
    </row>
    <row r="326" spans="11:11" x14ac:dyDescent="0.25">
      <c r="K326" s="6"/>
    </row>
    <row r="327" spans="11:11" x14ac:dyDescent="0.25">
      <c r="K327" s="6"/>
    </row>
    <row r="328" spans="11:11" x14ac:dyDescent="0.25">
      <c r="K328" s="6"/>
    </row>
    <row r="329" spans="11:11" x14ac:dyDescent="0.25">
      <c r="K329" s="6"/>
    </row>
    <row r="330" spans="11:11" x14ac:dyDescent="0.25">
      <c r="K330" s="6"/>
    </row>
    <row r="331" spans="11:11" x14ac:dyDescent="0.25">
      <c r="K331" s="6"/>
    </row>
    <row r="332" spans="11:11" x14ac:dyDescent="0.25">
      <c r="K332" s="6"/>
    </row>
    <row r="333" spans="11:11" x14ac:dyDescent="0.25">
      <c r="K333" s="6"/>
    </row>
    <row r="334" spans="11:11" x14ac:dyDescent="0.25">
      <c r="K334" s="6"/>
    </row>
    <row r="335" spans="11:11" x14ac:dyDescent="0.25">
      <c r="K335" s="6"/>
    </row>
    <row r="336" spans="11:11" x14ac:dyDescent="0.25">
      <c r="K336" s="6"/>
    </row>
    <row r="337" spans="11:11" x14ac:dyDescent="0.25">
      <c r="K337" s="6"/>
    </row>
    <row r="338" spans="11:11" x14ac:dyDescent="0.25">
      <c r="K338" s="6"/>
    </row>
    <row r="339" spans="11:11" x14ac:dyDescent="0.25">
      <c r="K339" s="6"/>
    </row>
    <row r="340" spans="11:11" x14ac:dyDescent="0.25">
      <c r="K340" s="6"/>
    </row>
    <row r="341" spans="11:11" x14ac:dyDescent="0.25">
      <c r="K341" s="6"/>
    </row>
    <row r="342" spans="11:11" x14ac:dyDescent="0.25">
      <c r="K342" s="6"/>
    </row>
    <row r="343" spans="11:11" x14ac:dyDescent="0.25">
      <c r="K343" s="6"/>
    </row>
    <row r="344" spans="11:11" x14ac:dyDescent="0.25">
      <c r="K344" s="6"/>
    </row>
    <row r="345" spans="11:11" x14ac:dyDescent="0.25">
      <c r="K345" s="6"/>
    </row>
    <row r="346" spans="11:11" x14ac:dyDescent="0.25">
      <c r="K346" s="6"/>
    </row>
    <row r="347" spans="11:11" x14ac:dyDescent="0.25">
      <c r="K347" s="6"/>
    </row>
    <row r="348" spans="11:11" x14ac:dyDescent="0.25">
      <c r="K348" s="6"/>
    </row>
    <row r="349" spans="11:11" x14ac:dyDescent="0.25">
      <c r="K349" s="6"/>
    </row>
    <row r="350" spans="11:11" x14ac:dyDescent="0.25">
      <c r="K350" s="6"/>
    </row>
    <row r="351" spans="11:11" x14ac:dyDescent="0.25">
      <c r="K351" s="6"/>
    </row>
    <row r="352" spans="11:11" x14ac:dyDescent="0.25">
      <c r="K352" s="6"/>
    </row>
    <row r="353" spans="11:11" x14ac:dyDescent="0.25">
      <c r="K353" s="6"/>
    </row>
    <row r="354" spans="11:11" x14ac:dyDescent="0.25">
      <c r="K354" s="6"/>
    </row>
    <row r="355" spans="11:11" x14ac:dyDescent="0.25">
      <c r="K355" s="6"/>
    </row>
    <row r="356" spans="11:11" x14ac:dyDescent="0.25">
      <c r="K356" s="6"/>
    </row>
    <row r="357" spans="11:11" x14ac:dyDescent="0.25">
      <c r="K357" s="6"/>
    </row>
    <row r="358" spans="11:11" x14ac:dyDescent="0.25">
      <c r="K358" s="6"/>
    </row>
    <row r="359" spans="11:11" x14ac:dyDescent="0.25">
      <c r="K359" s="6"/>
    </row>
    <row r="360" spans="11:11" x14ac:dyDescent="0.25">
      <c r="K360" s="6"/>
    </row>
    <row r="361" spans="11:11" x14ac:dyDescent="0.25">
      <c r="K361" s="6"/>
    </row>
    <row r="362" spans="11:11" x14ac:dyDescent="0.25">
      <c r="K362" s="6"/>
    </row>
    <row r="363" spans="11:11" x14ac:dyDescent="0.25">
      <c r="K363" s="6"/>
    </row>
    <row r="364" spans="11:11" x14ac:dyDescent="0.25">
      <c r="K364" s="6"/>
    </row>
    <row r="365" spans="11:11" x14ac:dyDescent="0.25">
      <c r="K365" s="6"/>
    </row>
    <row r="366" spans="11:11" x14ac:dyDescent="0.25">
      <c r="K366" s="6"/>
    </row>
    <row r="367" spans="11:11" x14ac:dyDescent="0.25">
      <c r="K367" s="6"/>
    </row>
    <row r="368" spans="11:11" x14ac:dyDescent="0.25">
      <c r="K368" s="6"/>
    </row>
    <row r="369" spans="11:11" x14ac:dyDescent="0.25">
      <c r="K369" s="6"/>
    </row>
    <row r="370" spans="11:11" x14ac:dyDescent="0.25">
      <c r="K370" s="6"/>
    </row>
    <row r="371" spans="11:11" x14ac:dyDescent="0.25">
      <c r="K371" s="6"/>
    </row>
    <row r="372" spans="11:11" x14ac:dyDescent="0.25">
      <c r="K372" s="6"/>
    </row>
    <row r="373" spans="11:11" x14ac:dyDescent="0.25">
      <c r="K373" s="6"/>
    </row>
    <row r="374" spans="11:11" x14ac:dyDescent="0.25">
      <c r="K374" s="6"/>
    </row>
    <row r="375" spans="11:11" x14ac:dyDescent="0.25">
      <c r="K375" s="6"/>
    </row>
    <row r="376" spans="11:11" x14ac:dyDescent="0.25">
      <c r="K376" s="6"/>
    </row>
    <row r="377" spans="11:11" x14ac:dyDescent="0.25">
      <c r="K377" s="6"/>
    </row>
    <row r="378" spans="11:11" x14ac:dyDescent="0.25">
      <c r="K378" s="6"/>
    </row>
    <row r="379" spans="11:11" x14ac:dyDescent="0.25">
      <c r="K379" s="6"/>
    </row>
    <row r="380" spans="11:11" x14ac:dyDescent="0.25">
      <c r="K380" s="6"/>
    </row>
    <row r="381" spans="11:11" x14ac:dyDescent="0.25">
      <c r="K381" s="6"/>
    </row>
    <row r="382" spans="11:11" x14ac:dyDescent="0.25">
      <c r="K382" s="6"/>
    </row>
    <row r="383" spans="11:11" x14ac:dyDescent="0.25">
      <c r="K383" s="6"/>
    </row>
    <row r="384" spans="11:11" x14ac:dyDescent="0.25">
      <c r="K384" s="6"/>
    </row>
    <row r="385" spans="11:11" x14ac:dyDescent="0.25">
      <c r="K385" s="6"/>
    </row>
    <row r="386" spans="11:11" x14ac:dyDescent="0.25">
      <c r="K386" s="6"/>
    </row>
    <row r="387" spans="11:11" x14ac:dyDescent="0.25">
      <c r="K387" s="6"/>
    </row>
    <row r="388" spans="11:11" x14ac:dyDescent="0.25">
      <c r="K388" s="6"/>
    </row>
    <row r="389" spans="11:11" x14ac:dyDescent="0.25">
      <c r="K389" s="6"/>
    </row>
    <row r="390" spans="11:11" x14ac:dyDescent="0.25">
      <c r="K390" s="6"/>
    </row>
    <row r="391" spans="11:11" x14ac:dyDescent="0.25">
      <c r="K391" s="6"/>
    </row>
    <row r="392" spans="11:11" x14ac:dyDescent="0.25">
      <c r="K392" s="6"/>
    </row>
    <row r="393" spans="11:11" x14ac:dyDescent="0.25">
      <c r="K393" s="6"/>
    </row>
    <row r="394" spans="11:11" x14ac:dyDescent="0.25">
      <c r="K394" s="6"/>
    </row>
  </sheetData>
  <autoFilter ref="E5:O5" xr:uid="{7C35EB2D-F6FA-4706-A506-872A43DCE1C7}"/>
  <mergeCells count="14">
    <mergeCell ref="C159:C176"/>
    <mergeCell ref="C261:C281"/>
    <mergeCell ref="C120:C136"/>
    <mergeCell ref="C139:C156"/>
    <mergeCell ref="F1:J1"/>
    <mergeCell ref="C79:C96"/>
    <mergeCell ref="C99:C117"/>
    <mergeCell ref="C20:C26"/>
    <mergeCell ref="C13:C17"/>
    <mergeCell ref="C8:C10"/>
    <mergeCell ref="C67:C76"/>
    <mergeCell ref="C45:C64"/>
    <mergeCell ref="C36:C42"/>
    <mergeCell ref="C29:C32"/>
  </mergeCells>
  <conditionalFormatting sqref="L8:O281">
    <cfRule type="cellIs" dxfId="10" priority="12" operator="greaterThan">
      <formula>1.12</formula>
    </cfRule>
  </conditionalFormatting>
  <conditionalFormatting sqref="L35:O35">
    <cfRule type="cellIs" dxfId="9" priority="11" operator="greaterThan">
      <formula>1.14</formula>
    </cfRule>
  </conditionalFormatting>
  <conditionalFormatting sqref="L66:O66">
    <cfRule type="cellIs" dxfId="8" priority="9" operator="greaterThan">
      <formula>1.14</formula>
    </cfRule>
  </conditionalFormatting>
  <conditionalFormatting sqref="L65:O65">
    <cfRule type="cellIs" dxfId="7" priority="8" operator="greaterThan">
      <formula>1.14</formula>
    </cfRule>
  </conditionalFormatting>
  <conditionalFormatting sqref="L97:O97">
    <cfRule type="cellIs" dxfId="6" priority="7" operator="greaterThan">
      <formula>1.14</formula>
    </cfRule>
  </conditionalFormatting>
  <conditionalFormatting sqref="L45:O64">
    <cfRule type="cellIs" dxfId="5" priority="6" operator="greaterThan">
      <formula>1.14</formula>
    </cfRule>
  </conditionalFormatting>
  <conditionalFormatting sqref="L79:O96">
    <cfRule type="cellIs" dxfId="4" priority="5" operator="greaterThan">
      <formula>1.14</formula>
    </cfRule>
  </conditionalFormatting>
  <conditionalFormatting sqref="L99:O117">
    <cfRule type="cellIs" dxfId="3" priority="4" operator="greaterThan">
      <formula>1.14</formula>
    </cfRule>
  </conditionalFormatting>
  <conditionalFormatting sqref="L159:O258">
    <cfRule type="cellIs" dxfId="2" priority="2" operator="greaterThan">
      <formula>1.14</formula>
    </cfRule>
  </conditionalFormatting>
  <conditionalFormatting sqref="L261:O281">
    <cfRule type="cellIs" dxfId="1" priority="1" operator="greaterThan">
      <formula>1.14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DD41-D5CD-462C-841F-B0B235EAF97C}">
  <sheetPr>
    <tabColor theme="4"/>
  </sheetPr>
  <dimension ref="C1:F20"/>
  <sheetViews>
    <sheetView showGridLines="0" workbookViewId="0">
      <pane xSplit="1" topLeftCell="B1" activePane="topRight" state="frozen"/>
      <selection pane="topRight" activeCell="F5" sqref="F5"/>
    </sheetView>
  </sheetViews>
  <sheetFormatPr defaultColWidth="9.140625" defaultRowHeight="15" zeroHeight="1" x14ac:dyDescent="0.25"/>
  <cols>
    <col min="1" max="1" width="24.42578125" customWidth="1"/>
    <col min="2" max="2" width="3.7109375" customWidth="1"/>
    <col min="3" max="3" width="10.5703125" customWidth="1"/>
    <col min="4" max="4" width="101.42578125" customWidth="1"/>
    <col min="5" max="5" width="10.140625" customWidth="1"/>
    <col min="6" max="6" width="28.140625" customWidth="1"/>
    <col min="7" max="11" width="9.140625" customWidth="1"/>
    <col min="12" max="12" width="3.5703125" customWidth="1"/>
    <col min="13" max="13" width="4.5703125" customWidth="1"/>
    <col min="14" max="15" width="9.140625" customWidth="1"/>
    <col min="16382" max="16384" width="1.140625" customWidth="1"/>
  </cols>
  <sheetData>
    <row r="1" spans="3:6" ht="15.75" thickBot="1" x14ac:dyDescent="0.3"/>
    <row r="2" spans="3:6" ht="15.75" thickBot="1" x14ac:dyDescent="0.3">
      <c r="C2" s="140" t="s">
        <v>117</v>
      </c>
      <c r="D2" s="141"/>
      <c r="E2" s="141"/>
      <c r="F2" s="142"/>
    </row>
    <row r="3" spans="3:6" ht="15.75" thickBot="1" x14ac:dyDescent="0.3">
      <c r="C3" s="3" t="s">
        <v>119</v>
      </c>
      <c r="D3" s="4" t="s">
        <v>120</v>
      </c>
      <c r="E3" s="3" t="s">
        <v>397</v>
      </c>
      <c r="F3" s="3" t="s">
        <v>385</v>
      </c>
    </row>
    <row r="4" spans="3:6" x14ac:dyDescent="0.25">
      <c r="C4" s="2" t="s">
        <v>8</v>
      </c>
      <c r="D4" s="1" t="s">
        <v>373</v>
      </c>
      <c r="E4" s="1" t="s">
        <v>398</v>
      </c>
      <c r="F4" s="2" t="s">
        <v>386</v>
      </c>
    </row>
    <row r="5" spans="3:6" x14ac:dyDescent="0.25">
      <c r="C5" s="113" t="s">
        <v>118</v>
      </c>
      <c r="D5" s="114" t="s">
        <v>374</v>
      </c>
      <c r="E5" s="114" t="s">
        <v>399</v>
      </c>
      <c r="F5" s="113" t="s">
        <v>387</v>
      </c>
    </row>
    <row r="6" spans="3:6" x14ac:dyDescent="0.25">
      <c r="C6" s="113" t="s">
        <v>130</v>
      </c>
      <c r="D6" s="114" t="s">
        <v>388</v>
      </c>
      <c r="E6" s="114" t="s">
        <v>400</v>
      </c>
      <c r="F6" s="113" t="s">
        <v>389</v>
      </c>
    </row>
    <row r="7" spans="3:6" x14ac:dyDescent="0.25">
      <c r="C7" s="2" t="s">
        <v>17</v>
      </c>
      <c r="D7" s="1" t="s">
        <v>375</v>
      </c>
      <c r="E7" s="1" t="s">
        <v>401</v>
      </c>
      <c r="F7" s="2" t="s">
        <v>386</v>
      </c>
    </row>
    <row r="8" spans="3:6" x14ac:dyDescent="0.25">
      <c r="C8" s="2" t="s">
        <v>24</v>
      </c>
      <c r="D8" s="1" t="s">
        <v>376</v>
      </c>
      <c r="E8" s="1" t="s">
        <v>401</v>
      </c>
      <c r="F8" s="2" t="s">
        <v>386</v>
      </c>
    </row>
    <row r="9" spans="3:6" x14ac:dyDescent="0.25">
      <c r="C9" s="113" t="s">
        <v>372</v>
      </c>
      <c r="D9" s="114" t="s">
        <v>377</v>
      </c>
      <c r="E9" s="115" t="s">
        <v>402</v>
      </c>
      <c r="F9" s="113" t="s">
        <v>390</v>
      </c>
    </row>
    <row r="10" spans="3:6" x14ac:dyDescent="0.25">
      <c r="C10" s="2" t="s">
        <v>71</v>
      </c>
      <c r="D10" s="1" t="s">
        <v>379</v>
      </c>
      <c r="E10" s="74" t="s">
        <v>403</v>
      </c>
      <c r="F10" s="2" t="s">
        <v>386</v>
      </c>
    </row>
    <row r="11" spans="3:6" x14ac:dyDescent="0.25">
      <c r="C11" s="113" t="s">
        <v>121</v>
      </c>
      <c r="D11" s="114" t="s">
        <v>122</v>
      </c>
      <c r="E11" s="116" t="s">
        <v>404</v>
      </c>
      <c r="F11" s="113" t="s">
        <v>391</v>
      </c>
    </row>
    <row r="12" spans="3:6" x14ac:dyDescent="0.25">
      <c r="C12" s="113" t="s">
        <v>124</v>
      </c>
      <c r="D12" s="114" t="s">
        <v>380</v>
      </c>
      <c r="E12" s="116" t="s">
        <v>405</v>
      </c>
      <c r="F12" s="113" t="s">
        <v>392</v>
      </c>
    </row>
    <row r="13" spans="3:6" x14ac:dyDescent="0.25">
      <c r="C13" s="2" t="s">
        <v>378</v>
      </c>
      <c r="D13" s="1" t="s">
        <v>381</v>
      </c>
      <c r="E13" s="75" t="s">
        <v>406</v>
      </c>
      <c r="F13" s="2" t="s">
        <v>386</v>
      </c>
    </row>
    <row r="14" spans="3:6" x14ac:dyDescent="0.25">
      <c r="C14" s="2" t="s">
        <v>382</v>
      </c>
      <c r="D14" s="71" t="s">
        <v>394</v>
      </c>
      <c r="E14" s="76" t="s">
        <v>407</v>
      </c>
      <c r="F14" s="72" t="s">
        <v>386</v>
      </c>
    </row>
    <row r="15" spans="3:6" x14ac:dyDescent="0.25">
      <c r="C15" s="113" t="s">
        <v>125</v>
      </c>
      <c r="D15" s="114" t="s">
        <v>383</v>
      </c>
      <c r="E15" s="115" t="s">
        <v>404</v>
      </c>
      <c r="F15" s="113" t="s">
        <v>391</v>
      </c>
    </row>
    <row r="16" spans="3:6" ht="15.75" thickBot="1" x14ac:dyDescent="0.3">
      <c r="C16" s="117" t="s">
        <v>123</v>
      </c>
      <c r="D16" s="118" t="s">
        <v>384</v>
      </c>
      <c r="E16" s="119" t="s">
        <v>408</v>
      </c>
      <c r="F16" s="117" t="s">
        <v>392</v>
      </c>
    </row>
    <row r="17" spans="3:5" x14ac:dyDescent="0.25"/>
    <row r="18" spans="3:5" x14ac:dyDescent="0.25"/>
    <row r="19" spans="3:5" x14ac:dyDescent="0.25">
      <c r="C19" s="73" t="s">
        <v>393</v>
      </c>
      <c r="D19" s="73"/>
      <c r="E19" s="73"/>
    </row>
    <row r="20" spans="3:5" x14ac:dyDescent="0.25"/>
  </sheetData>
  <mergeCells count="1">
    <mergeCell ref="C2:F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62B5A-A7C6-4908-A636-C268F0AF874B}">
  <sheetPr>
    <tabColor theme="4"/>
  </sheetPr>
  <dimension ref="A5:I420"/>
  <sheetViews>
    <sheetView showGridLines="0" zoomScaleNormal="100" workbookViewId="0">
      <pane ySplit="5" topLeftCell="A6" activePane="bottomLeft" state="frozen"/>
      <selection pane="bottomLeft" activeCell="B3" sqref="B3"/>
    </sheetView>
  </sheetViews>
  <sheetFormatPr defaultColWidth="0" defaultRowHeight="15" x14ac:dyDescent="0.25"/>
  <cols>
    <col min="1" max="1" width="13.7109375" style="5" customWidth="1"/>
    <col min="2" max="2" width="19.85546875" style="5" customWidth="1"/>
    <col min="3" max="4" width="9.140625" style="5" customWidth="1"/>
    <col min="5" max="9" width="0" style="5" hidden="1" customWidth="1"/>
    <col min="10" max="16384" width="9.140625" style="5" hidden="1"/>
  </cols>
  <sheetData>
    <row r="5" spans="1:2" x14ac:dyDescent="0.25">
      <c r="A5" s="69" t="s">
        <v>132</v>
      </c>
      <c r="B5" s="70" t="s">
        <v>134</v>
      </c>
    </row>
    <row r="6" spans="1:2" x14ac:dyDescent="0.25">
      <c r="A6" s="24">
        <v>444436825</v>
      </c>
      <c r="B6">
        <v>3</v>
      </c>
    </row>
    <row r="7" spans="1:2" x14ac:dyDescent="0.25">
      <c r="A7" s="24">
        <v>444580949</v>
      </c>
      <c r="B7">
        <v>4</v>
      </c>
    </row>
    <row r="8" spans="1:2" x14ac:dyDescent="0.25">
      <c r="A8" s="24">
        <v>444466430</v>
      </c>
      <c r="B8">
        <v>4</v>
      </c>
    </row>
    <row r="9" spans="1:2" x14ac:dyDescent="0.25">
      <c r="A9" s="24">
        <v>444617740</v>
      </c>
      <c r="B9">
        <v>3</v>
      </c>
    </row>
    <row r="10" spans="1:2" x14ac:dyDescent="0.25">
      <c r="A10" s="24">
        <v>444569540</v>
      </c>
      <c r="B10">
        <v>4</v>
      </c>
    </row>
    <row r="11" spans="1:2" x14ac:dyDescent="0.25">
      <c r="A11" s="24">
        <v>444453216</v>
      </c>
      <c r="B11">
        <v>4</v>
      </c>
    </row>
    <row r="12" spans="1:2" x14ac:dyDescent="0.25">
      <c r="A12" s="24">
        <v>444619395</v>
      </c>
      <c r="B12">
        <v>4</v>
      </c>
    </row>
    <row r="13" spans="1:2" x14ac:dyDescent="0.25">
      <c r="A13" s="24">
        <v>444588913</v>
      </c>
      <c r="B13">
        <v>4</v>
      </c>
    </row>
    <row r="14" spans="1:2" x14ac:dyDescent="0.25">
      <c r="A14" s="24">
        <v>444611504</v>
      </c>
      <c r="B14">
        <v>2</v>
      </c>
    </row>
    <row r="15" spans="1:2" x14ac:dyDescent="0.25">
      <c r="A15" s="24">
        <v>444417587</v>
      </c>
      <c r="B15">
        <v>2</v>
      </c>
    </row>
    <row r="16" spans="1:2" x14ac:dyDescent="0.25">
      <c r="A16" s="24">
        <v>444435427</v>
      </c>
      <c r="B16">
        <v>2</v>
      </c>
    </row>
    <row r="17" spans="1:2" x14ac:dyDescent="0.25">
      <c r="A17" s="24">
        <v>444567272</v>
      </c>
      <c r="B17">
        <v>3</v>
      </c>
    </row>
    <row r="18" spans="1:2" x14ac:dyDescent="0.25">
      <c r="A18" s="24">
        <v>444621910</v>
      </c>
      <c r="B18">
        <v>1</v>
      </c>
    </row>
    <row r="19" spans="1:2" x14ac:dyDescent="0.25">
      <c r="A19" s="24">
        <v>444446462</v>
      </c>
      <c r="B19">
        <v>3</v>
      </c>
    </row>
    <row r="20" spans="1:2" x14ac:dyDescent="0.25">
      <c r="A20" s="24">
        <v>444569364</v>
      </c>
      <c r="B20">
        <v>3</v>
      </c>
    </row>
    <row r="21" spans="1:2" x14ac:dyDescent="0.25">
      <c r="A21" s="24">
        <v>444430890</v>
      </c>
      <c r="B21">
        <v>1</v>
      </c>
    </row>
    <row r="22" spans="1:2" x14ac:dyDescent="0.25">
      <c r="A22" s="24">
        <v>444422548</v>
      </c>
      <c r="B22">
        <v>3</v>
      </c>
    </row>
    <row r="23" spans="1:2" x14ac:dyDescent="0.25">
      <c r="A23" s="24">
        <v>444588661</v>
      </c>
      <c r="B23">
        <v>3</v>
      </c>
    </row>
    <row r="24" spans="1:2" x14ac:dyDescent="0.25">
      <c r="A24" s="24">
        <v>444574265</v>
      </c>
      <c r="B24">
        <v>3</v>
      </c>
    </row>
    <row r="25" spans="1:2" x14ac:dyDescent="0.25">
      <c r="A25" s="24">
        <v>444595752</v>
      </c>
      <c r="B25">
        <v>3</v>
      </c>
    </row>
    <row r="26" spans="1:2" x14ac:dyDescent="0.25">
      <c r="A26" s="24">
        <v>444576110</v>
      </c>
      <c r="B26">
        <v>1</v>
      </c>
    </row>
    <row r="27" spans="1:2" x14ac:dyDescent="0.25">
      <c r="A27" s="24">
        <v>444410215</v>
      </c>
      <c r="B27">
        <v>3</v>
      </c>
    </row>
    <row r="28" spans="1:2" x14ac:dyDescent="0.25">
      <c r="A28" s="24">
        <v>444579888</v>
      </c>
      <c r="B28">
        <v>3</v>
      </c>
    </row>
    <row r="29" spans="1:2" x14ac:dyDescent="0.25">
      <c r="A29" s="24">
        <v>444572807</v>
      </c>
      <c r="B29">
        <v>1</v>
      </c>
    </row>
    <row r="30" spans="1:2" x14ac:dyDescent="0.25">
      <c r="A30" s="24">
        <v>444570079</v>
      </c>
      <c r="B30">
        <v>4</v>
      </c>
    </row>
    <row r="31" spans="1:2" x14ac:dyDescent="0.25">
      <c r="A31" s="24">
        <v>444452425</v>
      </c>
      <c r="B31">
        <v>3</v>
      </c>
    </row>
    <row r="32" spans="1:2" x14ac:dyDescent="0.25">
      <c r="A32" s="24">
        <v>444597591</v>
      </c>
      <c r="B32">
        <v>1</v>
      </c>
    </row>
    <row r="33" spans="1:2" x14ac:dyDescent="0.25">
      <c r="A33" s="24">
        <v>444414833</v>
      </c>
      <c r="B33">
        <v>2</v>
      </c>
    </row>
    <row r="34" spans="1:2" x14ac:dyDescent="0.25">
      <c r="A34" s="24">
        <v>444586418</v>
      </c>
      <c r="B34">
        <v>4</v>
      </c>
    </row>
    <row r="35" spans="1:2" x14ac:dyDescent="0.25">
      <c r="A35" s="24">
        <v>444585371</v>
      </c>
      <c r="B35">
        <v>2</v>
      </c>
    </row>
    <row r="36" spans="1:2" x14ac:dyDescent="0.25">
      <c r="A36" s="24">
        <v>444464297</v>
      </c>
      <c r="B36">
        <v>3</v>
      </c>
    </row>
    <row r="37" spans="1:2" x14ac:dyDescent="0.25">
      <c r="A37" s="24">
        <v>444570103</v>
      </c>
      <c r="B37">
        <v>1</v>
      </c>
    </row>
    <row r="38" spans="1:2" x14ac:dyDescent="0.25">
      <c r="A38" s="24">
        <v>444414870</v>
      </c>
      <c r="B38">
        <v>1</v>
      </c>
    </row>
    <row r="39" spans="1:2" x14ac:dyDescent="0.25">
      <c r="A39" s="24">
        <v>444414339</v>
      </c>
      <c r="B39">
        <v>3</v>
      </c>
    </row>
    <row r="40" spans="1:2" x14ac:dyDescent="0.25">
      <c r="A40" s="24">
        <v>444439500</v>
      </c>
      <c r="B40">
        <v>1</v>
      </c>
    </row>
    <row r="41" spans="1:2" x14ac:dyDescent="0.25">
      <c r="A41" s="24">
        <v>444429989</v>
      </c>
      <c r="B41">
        <v>4</v>
      </c>
    </row>
    <row r="42" spans="1:2" x14ac:dyDescent="0.25">
      <c r="A42" s="24">
        <v>444410373</v>
      </c>
      <c r="B42">
        <v>3</v>
      </c>
    </row>
    <row r="43" spans="1:2" x14ac:dyDescent="0.25">
      <c r="A43" s="24">
        <v>444621004</v>
      </c>
      <c r="B43">
        <v>2</v>
      </c>
    </row>
    <row r="44" spans="1:2" x14ac:dyDescent="0.25">
      <c r="A44" s="24">
        <v>444583511</v>
      </c>
      <c r="B44">
        <v>3</v>
      </c>
    </row>
    <row r="45" spans="1:2" x14ac:dyDescent="0.25">
      <c r="A45" s="24">
        <v>444410514</v>
      </c>
      <c r="B45">
        <v>4</v>
      </c>
    </row>
    <row r="46" spans="1:2" x14ac:dyDescent="0.25">
      <c r="A46" s="24">
        <v>444621801</v>
      </c>
      <c r="B46">
        <v>3</v>
      </c>
    </row>
    <row r="47" spans="1:2" x14ac:dyDescent="0.25">
      <c r="A47" s="24">
        <v>444568525</v>
      </c>
      <c r="B47">
        <v>4</v>
      </c>
    </row>
    <row r="48" spans="1:2" x14ac:dyDescent="0.25">
      <c r="A48" s="24">
        <v>444609225</v>
      </c>
      <c r="B48">
        <v>2</v>
      </c>
    </row>
    <row r="49" spans="1:2" x14ac:dyDescent="0.25">
      <c r="A49" s="24">
        <v>444575381</v>
      </c>
      <c r="B49">
        <v>2</v>
      </c>
    </row>
    <row r="50" spans="1:2" x14ac:dyDescent="0.25">
      <c r="A50" s="24">
        <v>444611648</v>
      </c>
      <c r="B50">
        <v>4</v>
      </c>
    </row>
    <row r="51" spans="1:2" x14ac:dyDescent="0.25">
      <c r="A51" s="24">
        <v>444447093</v>
      </c>
      <c r="B51">
        <v>4</v>
      </c>
    </row>
    <row r="52" spans="1:2" x14ac:dyDescent="0.25">
      <c r="A52" s="24">
        <v>444578514</v>
      </c>
      <c r="B52">
        <v>1</v>
      </c>
    </row>
    <row r="53" spans="1:2" x14ac:dyDescent="0.25">
      <c r="A53" s="24">
        <v>444419126</v>
      </c>
      <c r="B53">
        <v>4</v>
      </c>
    </row>
    <row r="54" spans="1:2" x14ac:dyDescent="0.25">
      <c r="A54" s="24">
        <v>444566996</v>
      </c>
      <c r="B54">
        <v>2</v>
      </c>
    </row>
    <row r="55" spans="1:2" x14ac:dyDescent="0.25">
      <c r="A55" s="24">
        <v>444587015</v>
      </c>
      <c r="B55">
        <v>1</v>
      </c>
    </row>
    <row r="56" spans="1:2" x14ac:dyDescent="0.25">
      <c r="A56" s="24">
        <v>444448245</v>
      </c>
      <c r="B56">
        <v>2</v>
      </c>
    </row>
    <row r="57" spans="1:2" x14ac:dyDescent="0.25">
      <c r="A57" s="24">
        <v>444411924</v>
      </c>
      <c r="B57">
        <v>2</v>
      </c>
    </row>
    <row r="58" spans="1:2" x14ac:dyDescent="0.25">
      <c r="A58" s="24">
        <v>444615669</v>
      </c>
      <c r="B58">
        <v>3</v>
      </c>
    </row>
    <row r="59" spans="1:2" x14ac:dyDescent="0.25">
      <c r="A59" s="24">
        <v>444457569</v>
      </c>
      <c r="B59">
        <v>1</v>
      </c>
    </row>
    <row r="60" spans="1:2" x14ac:dyDescent="0.25">
      <c r="A60" s="24">
        <v>444570012</v>
      </c>
      <c r="B60">
        <v>2</v>
      </c>
    </row>
    <row r="61" spans="1:2" x14ac:dyDescent="0.25">
      <c r="A61" s="24">
        <v>444594196</v>
      </c>
      <c r="B61">
        <v>2</v>
      </c>
    </row>
    <row r="62" spans="1:2" x14ac:dyDescent="0.25">
      <c r="A62" s="24">
        <v>444574550</v>
      </c>
      <c r="B62">
        <v>1</v>
      </c>
    </row>
    <row r="63" spans="1:2" x14ac:dyDescent="0.25">
      <c r="A63" s="24">
        <v>444612143</v>
      </c>
      <c r="B63">
        <v>4</v>
      </c>
    </row>
    <row r="64" spans="1:2" x14ac:dyDescent="0.25">
      <c r="A64" s="24">
        <v>444593106</v>
      </c>
      <c r="B64">
        <v>4</v>
      </c>
    </row>
    <row r="65" spans="1:2" x14ac:dyDescent="0.25">
      <c r="A65" s="24">
        <v>444596621</v>
      </c>
      <c r="B65">
        <v>3</v>
      </c>
    </row>
    <row r="66" spans="1:2" x14ac:dyDescent="0.25">
      <c r="A66" s="24">
        <v>444417330</v>
      </c>
      <c r="B66">
        <v>1</v>
      </c>
    </row>
    <row r="67" spans="1:2" x14ac:dyDescent="0.25">
      <c r="A67" s="24">
        <v>444606912</v>
      </c>
      <c r="B67">
        <v>3</v>
      </c>
    </row>
    <row r="68" spans="1:2" x14ac:dyDescent="0.25">
      <c r="A68" s="24">
        <v>444433585</v>
      </c>
      <c r="B68">
        <v>3</v>
      </c>
    </row>
    <row r="69" spans="1:2" x14ac:dyDescent="0.25">
      <c r="A69" s="24">
        <v>444410657</v>
      </c>
      <c r="B69">
        <v>4</v>
      </c>
    </row>
    <row r="70" spans="1:2" x14ac:dyDescent="0.25">
      <c r="A70" s="24">
        <v>444618695</v>
      </c>
      <c r="B70">
        <v>2</v>
      </c>
    </row>
    <row r="71" spans="1:2" x14ac:dyDescent="0.25">
      <c r="A71" s="24">
        <v>444620878</v>
      </c>
      <c r="B71">
        <v>3</v>
      </c>
    </row>
    <row r="72" spans="1:2" x14ac:dyDescent="0.25">
      <c r="A72" s="24">
        <v>444597222</v>
      </c>
      <c r="B72">
        <v>2</v>
      </c>
    </row>
    <row r="73" spans="1:2" x14ac:dyDescent="0.25">
      <c r="A73" s="24">
        <v>444566482</v>
      </c>
      <c r="B73">
        <v>2</v>
      </c>
    </row>
    <row r="74" spans="1:2" x14ac:dyDescent="0.25">
      <c r="A74" s="24">
        <v>444432712</v>
      </c>
      <c r="B74">
        <v>4</v>
      </c>
    </row>
    <row r="75" spans="1:2" x14ac:dyDescent="0.25">
      <c r="A75" s="24">
        <v>444584625</v>
      </c>
      <c r="B75">
        <v>1</v>
      </c>
    </row>
    <row r="76" spans="1:2" x14ac:dyDescent="0.25">
      <c r="A76" s="24">
        <v>444566430</v>
      </c>
      <c r="B76">
        <v>3</v>
      </c>
    </row>
    <row r="77" spans="1:2" x14ac:dyDescent="0.25">
      <c r="A77" s="24">
        <v>444577020</v>
      </c>
      <c r="B77">
        <v>3</v>
      </c>
    </row>
    <row r="78" spans="1:2" x14ac:dyDescent="0.25">
      <c r="A78" s="24">
        <v>444414051</v>
      </c>
      <c r="B78">
        <v>3</v>
      </c>
    </row>
    <row r="79" spans="1:2" x14ac:dyDescent="0.25">
      <c r="A79" s="24">
        <v>444604205</v>
      </c>
      <c r="B79">
        <v>1</v>
      </c>
    </row>
    <row r="80" spans="1:2" x14ac:dyDescent="0.25">
      <c r="A80" s="24">
        <v>444605942</v>
      </c>
      <c r="B80">
        <v>4</v>
      </c>
    </row>
    <row r="81" spans="1:2" x14ac:dyDescent="0.25">
      <c r="A81" s="24">
        <v>444571132</v>
      </c>
      <c r="B81">
        <v>4</v>
      </c>
    </row>
    <row r="82" spans="1:2" x14ac:dyDescent="0.25">
      <c r="A82" s="24">
        <v>444569726</v>
      </c>
      <c r="B82">
        <v>1</v>
      </c>
    </row>
    <row r="83" spans="1:2" x14ac:dyDescent="0.25">
      <c r="A83" s="24">
        <v>444615749</v>
      </c>
      <c r="B83">
        <v>1</v>
      </c>
    </row>
    <row r="84" spans="1:2" x14ac:dyDescent="0.25">
      <c r="A84" s="24">
        <v>444606641</v>
      </c>
      <c r="B84">
        <v>1</v>
      </c>
    </row>
    <row r="85" spans="1:2" x14ac:dyDescent="0.25">
      <c r="A85" s="24">
        <v>444431737</v>
      </c>
      <c r="B85">
        <v>4</v>
      </c>
    </row>
    <row r="86" spans="1:2" x14ac:dyDescent="0.25">
      <c r="A86" s="24">
        <v>444570803</v>
      </c>
      <c r="B86">
        <v>3</v>
      </c>
    </row>
    <row r="87" spans="1:2" x14ac:dyDescent="0.25">
      <c r="A87" s="24">
        <v>444571681</v>
      </c>
      <c r="B87">
        <v>4</v>
      </c>
    </row>
    <row r="88" spans="1:2" x14ac:dyDescent="0.25">
      <c r="A88" s="24">
        <v>444458753</v>
      </c>
      <c r="B88">
        <v>1</v>
      </c>
    </row>
    <row r="89" spans="1:2" x14ac:dyDescent="0.25">
      <c r="A89" s="24">
        <v>444434288</v>
      </c>
      <c r="B89">
        <v>4</v>
      </c>
    </row>
    <row r="90" spans="1:2" x14ac:dyDescent="0.25">
      <c r="A90" s="24">
        <v>444459126</v>
      </c>
      <c r="B90">
        <v>2</v>
      </c>
    </row>
    <row r="91" spans="1:2" x14ac:dyDescent="0.25">
      <c r="A91" s="24">
        <v>444592347</v>
      </c>
      <c r="B91">
        <v>3</v>
      </c>
    </row>
    <row r="92" spans="1:2" x14ac:dyDescent="0.25">
      <c r="A92" s="24">
        <v>444575981</v>
      </c>
      <c r="B92">
        <v>2</v>
      </c>
    </row>
    <row r="93" spans="1:2" x14ac:dyDescent="0.25">
      <c r="A93" s="24">
        <v>444410866</v>
      </c>
      <c r="B93">
        <v>3</v>
      </c>
    </row>
    <row r="94" spans="1:2" x14ac:dyDescent="0.25">
      <c r="A94" s="24">
        <v>444566687</v>
      </c>
      <c r="B94">
        <v>4</v>
      </c>
    </row>
    <row r="95" spans="1:2" x14ac:dyDescent="0.25">
      <c r="A95" s="24">
        <v>444600658</v>
      </c>
      <c r="B95">
        <v>3</v>
      </c>
    </row>
    <row r="96" spans="1:2" x14ac:dyDescent="0.25">
      <c r="A96" s="24">
        <v>444605106</v>
      </c>
      <c r="B96">
        <v>3</v>
      </c>
    </row>
    <row r="97" spans="1:2" x14ac:dyDescent="0.25">
      <c r="A97" s="24">
        <v>444618541</v>
      </c>
      <c r="B97">
        <v>4</v>
      </c>
    </row>
    <row r="98" spans="1:2" x14ac:dyDescent="0.25">
      <c r="A98" s="24">
        <v>444579978</v>
      </c>
      <c r="B98">
        <v>3</v>
      </c>
    </row>
    <row r="99" spans="1:2" x14ac:dyDescent="0.25">
      <c r="A99" s="24">
        <v>444462216</v>
      </c>
      <c r="B99">
        <v>2</v>
      </c>
    </row>
    <row r="100" spans="1:2" x14ac:dyDescent="0.25">
      <c r="A100" s="24">
        <v>444411734</v>
      </c>
      <c r="B100">
        <v>2</v>
      </c>
    </row>
    <row r="101" spans="1:2" x14ac:dyDescent="0.25">
      <c r="A101" s="24">
        <v>444566504</v>
      </c>
      <c r="B101">
        <v>1</v>
      </c>
    </row>
    <row r="102" spans="1:2" x14ac:dyDescent="0.25">
      <c r="A102" s="24">
        <v>444570951</v>
      </c>
      <c r="B102">
        <v>4</v>
      </c>
    </row>
    <row r="103" spans="1:2" x14ac:dyDescent="0.25">
      <c r="A103" s="24">
        <v>444576921</v>
      </c>
      <c r="B103">
        <v>3</v>
      </c>
    </row>
    <row r="104" spans="1:2" x14ac:dyDescent="0.25">
      <c r="A104" s="24">
        <v>444425306</v>
      </c>
      <c r="B104">
        <v>1</v>
      </c>
    </row>
    <row r="105" spans="1:2" x14ac:dyDescent="0.25">
      <c r="A105" s="24">
        <v>444588599</v>
      </c>
      <c r="B105">
        <v>3</v>
      </c>
    </row>
    <row r="106" spans="1:2" x14ac:dyDescent="0.25">
      <c r="A106" s="24">
        <v>444433060</v>
      </c>
      <c r="B106">
        <v>2</v>
      </c>
    </row>
    <row r="107" spans="1:2" x14ac:dyDescent="0.25">
      <c r="A107" s="24">
        <v>444557749</v>
      </c>
      <c r="B107">
        <v>4</v>
      </c>
    </row>
    <row r="108" spans="1:2" x14ac:dyDescent="0.25">
      <c r="A108" s="24">
        <v>444574437</v>
      </c>
      <c r="B108">
        <v>2</v>
      </c>
    </row>
    <row r="109" spans="1:2" x14ac:dyDescent="0.25">
      <c r="A109" s="24">
        <v>444566812</v>
      </c>
      <c r="B109">
        <v>4</v>
      </c>
    </row>
    <row r="110" spans="1:2" x14ac:dyDescent="0.25">
      <c r="A110" s="24">
        <v>444426148</v>
      </c>
      <c r="B110">
        <v>1</v>
      </c>
    </row>
    <row r="111" spans="1:2" x14ac:dyDescent="0.25">
      <c r="A111" s="24">
        <v>444571854</v>
      </c>
      <c r="B111">
        <v>4</v>
      </c>
    </row>
    <row r="112" spans="1:2" x14ac:dyDescent="0.25">
      <c r="A112" s="24">
        <v>444410833</v>
      </c>
      <c r="B112">
        <v>2</v>
      </c>
    </row>
    <row r="113" spans="1:2" x14ac:dyDescent="0.25">
      <c r="A113" s="24">
        <v>444411104</v>
      </c>
      <c r="B113">
        <v>3</v>
      </c>
    </row>
    <row r="114" spans="1:2" x14ac:dyDescent="0.25">
      <c r="A114" s="24">
        <v>444574714</v>
      </c>
      <c r="B114">
        <v>2</v>
      </c>
    </row>
    <row r="115" spans="1:2" x14ac:dyDescent="0.25">
      <c r="A115" s="24">
        <v>444410217</v>
      </c>
      <c r="B115">
        <v>4</v>
      </c>
    </row>
    <row r="116" spans="1:2" x14ac:dyDescent="0.25">
      <c r="A116" s="24">
        <v>444570130</v>
      </c>
      <c r="B116">
        <v>4</v>
      </c>
    </row>
    <row r="117" spans="1:2" x14ac:dyDescent="0.25">
      <c r="A117" s="24">
        <v>444424095</v>
      </c>
      <c r="B117">
        <v>1</v>
      </c>
    </row>
    <row r="118" spans="1:2" x14ac:dyDescent="0.25">
      <c r="A118" s="24">
        <v>444440222</v>
      </c>
      <c r="B118">
        <v>1</v>
      </c>
    </row>
    <row r="119" spans="1:2" x14ac:dyDescent="0.25">
      <c r="A119" s="24">
        <v>444451600</v>
      </c>
      <c r="B119">
        <v>2</v>
      </c>
    </row>
    <row r="120" spans="1:2" x14ac:dyDescent="0.25">
      <c r="A120" s="24">
        <v>444567017</v>
      </c>
      <c r="B120">
        <v>1</v>
      </c>
    </row>
    <row r="121" spans="1:2" x14ac:dyDescent="0.25">
      <c r="A121" s="24">
        <v>444449258</v>
      </c>
      <c r="B121">
        <v>1</v>
      </c>
    </row>
    <row r="122" spans="1:2" x14ac:dyDescent="0.25">
      <c r="A122" s="24">
        <v>444415760</v>
      </c>
      <c r="B122">
        <v>4</v>
      </c>
    </row>
    <row r="123" spans="1:2" x14ac:dyDescent="0.25">
      <c r="A123" s="24">
        <v>444558471</v>
      </c>
      <c r="B123">
        <v>2</v>
      </c>
    </row>
    <row r="124" spans="1:2" x14ac:dyDescent="0.25">
      <c r="A124" s="24">
        <v>444571007</v>
      </c>
      <c r="B124">
        <v>1</v>
      </c>
    </row>
    <row r="125" spans="1:2" x14ac:dyDescent="0.25">
      <c r="A125" s="24">
        <v>444428472</v>
      </c>
      <c r="B125">
        <v>1</v>
      </c>
    </row>
    <row r="126" spans="1:2" x14ac:dyDescent="0.25">
      <c r="A126" s="24">
        <v>444587421</v>
      </c>
      <c r="B126">
        <v>2</v>
      </c>
    </row>
    <row r="127" spans="1:2" x14ac:dyDescent="0.25">
      <c r="A127" s="24">
        <v>444601712</v>
      </c>
      <c r="B127">
        <v>2</v>
      </c>
    </row>
    <row r="128" spans="1:2" x14ac:dyDescent="0.25">
      <c r="A128" s="24">
        <v>444454218</v>
      </c>
      <c r="B128">
        <v>3</v>
      </c>
    </row>
    <row r="129" spans="1:2" x14ac:dyDescent="0.25">
      <c r="A129" s="24">
        <v>444574688</v>
      </c>
      <c r="B129">
        <v>4</v>
      </c>
    </row>
    <row r="130" spans="1:2" x14ac:dyDescent="0.25">
      <c r="A130" s="24">
        <v>444605323</v>
      </c>
      <c r="B130">
        <v>1</v>
      </c>
    </row>
    <row r="131" spans="1:2" x14ac:dyDescent="0.25">
      <c r="A131" s="24">
        <v>444583873</v>
      </c>
      <c r="B131">
        <v>2</v>
      </c>
    </row>
    <row r="132" spans="1:2" x14ac:dyDescent="0.25">
      <c r="A132" s="24">
        <v>444593992</v>
      </c>
      <c r="B132">
        <v>3</v>
      </c>
    </row>
    <row r="133" spans="1:2" x14ac:dyDescent="0.25">
      <c r="A133" s="24">
        <v>444598335</v>
      </c>
      <c r="B133">
        <v>3</v>
      </c>
    </row>
    <row r="134" spans="1:2" x14ac:dyDescent="0.25">
      <c r="A134" s="24">
        <v>444573605</v>
      </c>
      <c r="B134">
        <v>3</v>
      </c>
    </row>
    <row r="135" spans="1:2" x14ac:dyDescent="0.25">
      <c r="A135" s="24">
        <v>444567459</v>
      </c>
      <c r="B135">
        <v>4</v>
      </c>
    </row>
    <row r="136" spans="1:2" x14ac:dyDescent="0.25">
      <c r="A136" s="24">
        <v>444460705</v>
      </c>
      <c r="B136">
        <v>1</v>
      </c>
    </row>
    <row r="137" spans="1:2" x14ac:dyDescent="0.25">
      <c r="A137" s="24">
        <v>444419360</v>
      </c>
      <c r="B137">
        <v>2</v>
      </c>
    </row>
    <row r="138" spans="1:2" x14ac:dyDescent="0.25">
      <c r="A138" s="24">
        <v>444582604</v>
      </c>
      <c r="B138">
        <v>4</v>
      </c>
    </row>
    <row r="139" spans="1:2" x14ac:dyDescent="0.25">
      <c r="A139" s="24">
        <v>444582700</v>
      </c>
      <c r="B139">
        <v>2</v>
      </c>
    </row>
    <row r="140" spans="1:2" x14ac:dyDescent="0.25">
      <c r="A140" s="24">
        <v>444410541</v>
      </c>
      <c r="B140">
        <v>1</v>
      </c>
    </row>
    <row r="141" spans="1:2" x14ac:dyDescent="0.25">
      <c r="A141" s="24">
        <v>444438613</v>
      </c>
      <c r="B141">
        <v>4</v>
      </c>
    </row>
    <row r="142" spans="1:2" x14ac:dyDescent="0.25">
      <c r="A142" s="24">
        <v>444441595</v>
      </c>
      <c r="B142">
        <v>2</v>
      </c>
    </row>
    <row r="143" spans="1:2" x14ac:dyDescent="0.25">
      <c r="A143" s="24">
        <v>444623238</v>
      </c>
      <c r="B143">
        <v>2</v>
      </c>
    </row>
    <row r="144" spans="1:2" x14ac:dyDescent="0.25">
      <c r="A144" s="24">
        <v>444574215</v>
      </c>
      <c r="B144">
        <v>3</v>
      </c>
    </row>
    <row r="145" spans="1:2" x14ac:dyDescent="0.25">
      <c r="A145" s="24">
        <v>444410626</v>
      </c>
      <c r="B145">
        <v>2</v>
      </c>
    </row>
    <row r="146" spans="1:2" x14ac:dyDescent="0.25">
      <c r="A146" s="24">
        <v>444419618</v>
      </c>
      <c r="B146">
        <v>4</v>
      </c>
    </row>
    <row r="147" spans="1:2" x14ac:dyDescent="0.25">
      <c r="A147" s="24">
        <v>444457214</v>
      </c>
      <c r="B147">
        <v>2</v>
      </c>
    </row>
    <row r="148" spans="1:2" x14ac:dyDescent="0.25">
      <c r="A148" s="24">
        <v>444583720</v>
      </c>
      <c r="B148">
        <v>3</v>
      </c>
    </row>
    <row r="149" spans="1:2" x14ac:dyDescent="0.25">
      <c r="A149" s="24">
        <v>444592266</v>
      </c>
      <c r="B149">
        <v>4</v>
      </c>
    </row>
    <row r="150" spans="1:2" x14ac:dyDescent="0.25">
      <c r="A150" s="24">
        <v>444427520</v>
      </c>
      <c r="B150">
        <v>2</v>
      </c>
    </row>
    <row r="151" spans="1:2" x14ac:dyDescent="0.25">
      <c r="A151" s="24">
        <v>444566326</v>
      </c>
      <c r="B151">
        <v>3</v>
      </c>
    </row>
    <row r="152" spans="1:2" x14ac:dyDescent="0.25">
      <c r="A152" s="24">
        <v>444567950</v>
      </c>
      <c r="B152">
        <v>2</v>
      </c>
    </row>
    <row r="153" spans="1:2" x14ac:dyDescent="0.25">
      <c r="A153" s="24">
        <v>444604167</v>
      </c>
      <c r="B153">
        <v>2</v>
      </c>
    </row>
    <row r="154" spans="1:2" x14ac:dyDescent="0.25">
      <c r="A154" s="24">
        <v>444567725</v>
      </c>
      <c r="B154">
        <v>2</v>
      </c>
    </row>
    <row r="155" spans="1:2" x14ac:dyDescent="0.25">
      <c r="A155" s="24">
        <v>444573755</v>
      </c>
      <c r="B155">
        <v>3</v>
      </c>
    </row>
    <row r="156" spans="1:2" x14ac:dyDescent="0.25">
      <c r="A156" s="24">
        <v>444569053</v>
      </c>
      <c r="B156">
        <v>4</v>
      </c>
    </row>
    <row r="157" spans="1:2" x14ac:dyDescent="0.25">
      <c r="A157" s="24">
        <v>444411608</v>
      </c>
      <c r="B157">
        <v>2</v>
      </c>
    </row>
    <row r="158" spans="1:2" x14ac:dyDescent="0.25">
      <c r="A158" s="24">
        <v>444566668</v>
      </c>
      <c r="B158">
        <v>2</v>
      </c>
    </row>
    <row r="159" spans="1:2" x14ac:dyDescent="0.25">
      <c r="A159" s="24">
        <v>444422760</v>
      </c>
      <c r="B159">
        <v>3</v>
      </c>
    </row>
    <row r="160" spans="1:2" x14ac:dyDescent="0.25">
      <c r="A160" s="24">
        <v>444561390</v>
      </c>
      <c r="B160">
        <v>3</v>
      </c>
    </row>
    <row r="161" spans="1:2" x14ac:dyDescent="0.25">
      <c r="A161" s="24">
        <v>444412228</v>
      </c>
      <c r="B161">
        <v>3</v>
      </c>
    </row>
    <row r="162" spans="1:2" x14ac:dyDescent="0.25">
      <c r="A162" s="24">
        <v>444583629</v>
      </c>
      <c r="B162">
        <v>1</v>
      </c>
    </row>
    <row r="163" spans="1:2" x14ac:dyDescent="0.25">
      <c r="A163" s="24">
        <v>444615400</v>
      </c>
      <c r="B163">
        <v>2</v>
      </c>
    </row>
    <row r="164" spans="1:2" x14ac:dyDescent="0.25">
      <c r="A164" s="24">
        <v>444580947</v>
      </c>
      <c r="B164">
        <v>3</v>
      </c>
    </row>
    <row r="165" spans="1:2" x14ac:dyDescent="0.25">
      <c r="A165" s="24">
        <v>444415579</v>
      </c>
      <c r="B165">
        <v>4</v>
      </c>
    </row>
    <row r="166" spans="1:2" x14ac:dyDescent="0.25">
      <c r="A166" s="24">
        <v>444467908</v>
      </c>
      <c r="B166">
        <v>4</v>
      </c>
    </row>
    <row r="167" spans="1:2" x14ac:dyDescent="0.25">
      <c r="A167" s="24">
        <v>444572065</v>
      </c>
      <c r="B167">
        <v>1</v>
      </c>
    </row>
    <row r="168" spans="1:2" x14ac:dyDescent="0.25">
      <c r="A168" s="24">
        <v>444580999</v>
      </c>
      <c r="B168">
        <v>2</v>
      </c>
    </row>
    <row r="169" spans="1:2" x14ac:dyDescent="0.25">
      <c r="A169" s="24">
        <v>444582220</v>
      </c>
      <c r="B169">
        <v>1</v>
      </c>
    </row>
    <row r="170" spans="1:2" x14ac:dyDescent="0.25">
      <c r="A170" s="24">
        <v>444410119</v>
      </c>
      <c r="B170">
        <v>1</v>
      </c>
    </row>
    <row r="171" spans="1:2" x14ac:dyDescent="0.25">
      <c r="A171" s="24">
        <v>444425561</v>
      </c>
      <c r="B171">
        <v>3</v>
      </c>
    </row>
    <row r="172" spans="1:2" x14ac:dyDescent="0.25">
      <c r="A172" s="24">
        <v>444622700</v>
      </c>
      <c r="B172">
        <v>1</v>
      </c>
    </row>
    <row r="173" spans="1:2" x14ac:dyDescent="0.25">
      <c r="A173" s="24">
        <v>444439309</v>
      </c>
      <c r="B173">
        <v>2</v>
      </c>
    </row>
    <row r="174" spans="1:2" x14ac:dyDescent="0.25">
      <c r="A174" s="24">
        <v>444424001</v>
      </c>
      <c r="B174">
        <v>3</v>
      </c>
    </row>
    <row r="175" spans="1:2" x14ac:dyDescent="0.25">
      <c r="A175" s="24">
        <v>444410155</v>
      </c>
      <c r="B175">
        <v>4</v>
      </c>
    </row>
    <row r="176" spans="1:2" x14ac:dyDescent="0.25">
      <c r="A176" s="24">
        <v>444583455</v>
      </c>
      <c r="B176">
        <v>3</v>
      </c>
    </row>
    <row r="177" spans="1:2" x14ac:dyDescent="0.25">
      <c r="A177" s="24">
        <v>444615079</v>
      </c>
      <c r="B177">
        <v>3</v>
      </c>
    </row>
    <row r="178" spans="1:2" x14ac:dyDescent="0.25">
      <c r="A178" s="24">
        <v>444595645</v>
      </c>
      <c r="B178">
        <v>1</v>
      </c>
    </row>
    <row r="179" spans="1:2" x14ac:dyDescent="0.25">
      <c r="A179" s="24">
        <v>444444775</v>
      </c>
      <c r="B179">
        <v>3</v>
      </c>
    </row>
    <row r="180" spans="1:2" x14ac:dyDescent="0.25">
      <c r="A180" s="24">
        <v>444582135</v>
      </c>
      <c r="B180">
        <v>4</v>
      </c>
    </row>
    <row r="181" spans="1:2" x14ac:dyDescent="0.25">
      <c r="A181" s="24">
        <v>444603841</v>
      </c>
      <c r="B181">
        <v>2</v>
      </c>
    </row>
    <row r="182" spans="1:2" x14ac:dyDescent="0.25">
      <c r="A182" s="24">
        <v>444575180</v>
      </c>
      <c r="B182">
        <v>4</v>
      </c>
    </row>
    <row r="183" spans="1:2" x14ac:dyDescent="0.25">
      <c r="A183" s="24">
        <v>444569990</v>
      </c>
      <c r="B183">
        <v>1</v>
      </c>
    </row>
    <row r="184" spans="1:2" x14ac:dyDescent="0.25">
      <c r="A184" s="24">
        <v>444615181</v>
      </c>
      <c r="B184">
        <v>2</v>
      </c>
    </row>
    <row r="185" spans="1:2" x14ac:dyDescent="0.25">
      <c r="A185" s="24">
        <v>444589131</v>
      </c>
      <c r="B185">
        <v>3</v>
      </c>
    </row>
    <row r="186" spans="1:2" x14ac:dyDescent="0.25">
      <c r="A186" s="24">
        <v>444571100</v>
      </c>
      <c r="B186">
        <v>3</v>
      </c>
    </row>
    <row r="187" spans="1:2" x14ac:dyDescent="0.25">
      <c r="A187" s="24">
        <v>444566441</v>
      </c>
      <c r="B187">
        <v>4</v>
      </c>
    </row>
    <row r="188" spans="1:2" x14ac:dyDescent="0.25">
      <c r="A188" s="24">
        <v>444419358</v>
      </c>
      <c r="B188">
        <v>4</v>
      </c>
    </row>
    <row r="189" spans="1:2" x14ac:dyDescent="0.25">
      <c r="A189" s="24">
        <v>444622609</v>
      </c>
      <c r="B189">
        <v>1</v>
      </c>
    </row>
    <row r="190" spans="1:2" x14ac:dyDescent="0.25">
      <c r="A190" s="24">
        <v>444605029</v>
      </c>
      <c r="B190">
        <v>2</v>
      </c>
    </row>
    <row r="191" spans="1:2" x14ac:dyDescent="0.25">
      <c r="A191" s="24">
        <v>444573221</v>
      </c>
      <c r="B191">
        <v>3</v>
      </c>
    </row>
    <row r="192" spans="1:2" x14ac:dyDescent="0.25">
      <c r="A192" s="24">
        <v>444566614</v>
      </c>
      <c r="B192">
        <v>4</v>
      </c>
    </row>
    <row r="193" spans="1:2" x14ac:dyDescent="0.25">
      <c r="A193" s="24">
        <v>444615924</v>
      </c>
      <c r="B193">
        <v>4</v>
      </c>
    </row>
    <row r="194" spans="1:2" x14ac:dyDescent="0.25">
      <c r="A194" s="24">
        <v>444444559</v>
      </c>
      <c r="B194">
        <v>4</v>
      </c>
    </row>
    <row r="195" spans="1:2" x14ac:dyDescent="0.25">
      <c r="A195" s="24">
        <v>444419522</v>
      </c>
      <c r="B195">
        <v>1</v>
      </c>
    </row>
    <row r="196" spans="1:2" x14ac:dyDescent="0.25">
      <c r="A196" s="24">
        <v>444598547</v>
      </c>
      <c r="B196">
        <v>3</v>
      </c>
    </row>
    <row r="197" spans="1:2" x14ac:dyDescent="0.25">
      <c r="A197" s="24">
        <v>444601585</v>
      </c>
      <c r="B197">
        <v>2</v>
      </c>
    </row>
    <row r="198" spans="1:2" x14ac:dyDescent="0.25">
      <c r="A198" s="24">
        <v>444616473</v>
      </c>
      <c r="B198">
        <v>2</v>
      </c>
    </row>
    <row r="199" spans="1:2" x14ac:dyDescent="0.25">
      <c r="A199" s="24">
        <v>444570063</v>
      </c>
      <c r="B199">
        <v>2</v>
      </c>
    </row>
    <row r="200" spans="1:2" x14ac:dyDescent="0.25">
      <c r="A200" s="24">
        <v>444414623</v>
      </c>
      <c r="B200">
        <v>4</v>
      </c>
    </row>
    <row r="201" spans="1:2" x14ac:dyDescent="0.25">
      <c r="A201" s="24">
        <v>444611033</v>
      </c>
      <c r="B201">
        <v>4</v>
      </c>
    </row>
    <row r="202" spans="1:2" x14ac:dyDescent="0.25">
      <c r="A202" s="24">
        <v>444583377</v>
      </c>
      <c r="B202">
        <v>4</v>
      </c>
    </row>
    <row r="203" spans="1:2" x14ac:dyDescent="0.25">
      <c r="A203" s="24">
        <v>444410364</v>
      </c>
      <c r="B203">
        <v>1</v>
      </c>
    </row>
    <row r="204" spans="1:2" x14ac:dyDescent="0.25">
      <c r="A204" s="24">
        <v>444415186</v>
      </c>
      <c r="B204">
        <v>3</v>
      </c>
    </row>
    <row r="205" spans="1:2" x14ac:dyDescent="0.25">
      <c r="A205" s="24">
        <v>444568121</v>
      </c>
      <c r="B205">
        <v>2</v>
      </c>
    </row>
    <row r="206" spans="1:2" x14ac:dyDescent="0.25">
      <c r="A206" s="24">
        <v>444610254</v>
      </c>
      <c r="B206">
        <v>3</v>
      </c>
    </row>
    <row r="207" spans="1:2" x14ac:dyDescent="0.25">
      <c r="A207" s="24">
        <v>444595153</v>
      </c>
      <c r="B207">
        <v>3</v>
      </c>
    </row>
    <row r="208" spans="1:2" x14ac:dyDescent="0.25">
      <c r="A208" s="24">
        <v>444568423</v>
      </c>
      <c r="B208">
        <v>3</v>
      </c>
    </row>
    <row r="209" spans="1:2" x14ac:dyDescent="0.25">
      <c r="A209" s="24">
        <v>444581482</v>
      </c>
      <c r="B209">
        <v>4</v>
      </c>
    </row>
    <row r="210" spans="1:2" x14ac:dyDescent="0.25">
      <c r="A210" s="24">
        <v>444622067</v>
      </c>
      <c r="B210">
        <v>4</v>
      </c>
    </row>
    <row r="211" spans="1:2" x14ac:dyDescent="0.25">
      <c r="A211" s="24">
        <v>444434422</v>
      </c>
      <c r="B211">
        <v>3</v>
      </c>
    </row>
    <row r="212" spans="1:2" x14ac:dyDescent="0.25">
      <c r="A212" s="24">
        <v>444447193</v>
      </c>
      <c r="B212">
        <v>2</v>
      </c>
    </row>
    <row r="213" spans="1:2" x14ac:dyDescent="0.25">
      <c r="A213" s="24">
        <v>444430464</v>
      </c>
      <c r="B213">
        <v>2</v>
      </c>
    </row>
    <row r="214" spans="1:2" x14ac:dyDescent="0.25">
      <c r="A214" s="24">
        <v>444574051</v>
      </c>
      <c r="B214">
        <v>2</v>
      </c>
    </row>
    <row r="215" spans="1:2" x14ac:dyDescent="0.25">
      <c r="A215" s="24">
        <v>444581422</v>
      </c>
      <c r="B215">
        <v>3</v>
      </c>
    </row>
    <row r="216" spans="1:2" x14ac:dyDescent="0.25">
      <c r="A216" s="24">
        <v>444439063</v>
      </c>
      <c r="B216">
        <v>3</v>
      </c>
    </row>
    <row r="217" spans="1:2" x14ac:dyDescent="0.25">
      <c r="A217" s="24">
        <v>444564364</v>
      </c>
      <c r="B217">
        <v>4</v>
      </c>
    </row>
    <row r="218" spans="1:2" x14ac:dyDescent="0.25">
      <c r="A218" s="24">
        <v>444603259</v>
      </c>
      <c r="B218">
        <v>3</v>
      </c>
    </row>
    <row r="219" spans="1:2" x14ac:dyDescent="0.25">
      <c r="A219" s="24">
        <v>444573056</v>
      </c>
      <c r="B219">
        <v>3</v>
      </c>
    </row>
    <row r="220" spans="1:2" x14ac:dyDescent="0.25">
      <c r="A220" s="24">
        <v>444410168</v>
      </c>
      <c r="B220">
        <v>1</v>
      </c>
    </row>
    <row r="221" spans="1:2" x14ac:dyDescent="0.25">
      <c r="A221" s="24">
        <v>444465471</v>
      </c>
      <c r="B221">
        <v>3</v>
      </c>
    </row>
    <row r="222" spans="1:2" x14ac:dyDescent="0.25">
      <c r="A222" s="24">
        <v>444419136</v>
      </c>
      <c r="B222">
        <v>4</v>
      </c>
    </row>
    <row r="223" spans="1:2" x14ac:dyDescent="0.25">
      <c r="A223" s="24">
        <v>444566539</v>
      </c>
      <c r="B223">
        <v>4</v>
      </c>
    </row>
    <row r="224" spans="1:2" x14ac:dyDescent="0.25">
      <c r="A224" s="24">
        <v>444460836</v>
      </c>
      <c r="B224">
        <v>3</v>
      </c>
    </row>
    <row r="225" spans="1:2" x14ac:dyDescent="0.25">
      <c r="A225" s="24">
        <v>444616230</v>
      </c>
      <c r="B225">
        <v>1</v>
      </c>
    </row>
    <row r="226" spans="1:2" x14ac:dyDescent="0.25">
      <c r="A226" s="24">
        <v>444618043</v>
      </c>
      <c r="B226">
        <v>2</v>
      </c>
    </row>
    <row r="227" spans="1:2" x14ac:dyDescent="0.25">
      <c r="A227" s="24">
        <v>444574144</v>
      </c>
      <c r="B227">
        <v>1</v>
      </c>
    </row>
    <row r="228" spans="1:2" x14ac:dyDescent="0.25">
      <c r="A228" s="24">
        <v>444431534</v>
      </c>
      <c r="B228">
        <v>3</v>
      </c>
    </row>
    <row r="229" spans="1:2" x14ac:dyDescent="0.25">
      <c r="A229" s="24">
        <v>444411956</v>
      </c>
      <c r="B229">
        <v>4</v>
      </c>
    </row>
    <row r="230" spans="1:2" x14ac:dyDescent="0.25">
      <c r="A230" s="24">
        <v>444574744</v>
      </c>
      <c r="B230">
        <v>1</v>
      </c>
    </row>
    <row r="231" spans="1:2" x14ac:dyDescent="0.25">
      <c r="A231" s="24">
        <v>444566431</v>
      </c>
      <c r="B231">
        <v>1</v>
      </c>
    </row>
    <row r="232" spans="1:2" x14ac:dyDescent="0.25">
      <c r="A232" s="24">
        <v>444603831</v>
      </c>
      <c r="B232">
        <v>3</v>
      </c>
    </row>
    <row r="233" spans="1:2" x14ac:dyDescent="0.25">
      <c r="A233" s="24">
        <v>444462445</v>
      </c>
      <c r="B233">
        <v>4</v>
      </c>
    </row>
    <row r="234" spans="1:2" x14ac:dyDescent="0.25">
      <c r="A234" s="24">
        <v>444594341</v>
      </c>
      <c r="B234">
        <v>1</v>
      </c>
    </row>
    <row r="235" spans="1:2" x14ac:dyDescent="0.25">
      <c r="A235" s="24">
        <v>444445700</v>
      </c>
      <c r="B235">
        <v>4</v>
      </c>
    </row>
    <row r="236" spans="1:2" x14ac:dyDescent="0.25">
      <c r="A236" s="24">
        <v>444415430</v>
      </c>
      <c r="B236">
        <v>1</v>
      </c>
    </row>
    <row r="237" spans="1:2" x14ac:dyDescent="0.25">
      <c r="A237" s="24">
        <v>444622883</v>
      </c>
      <c r="B237">
        <v>2</v>
      </c>
    </row>
    <row r="238" spans="1:2" x14ac:dyDescent="0.25">
      <c r="A238" s="24">
        <v>444566738</v>
      </c>
      <c r="B238">
        <v>2</v>
      </c>
    </row>
    <row r="239" spans="1:2" x14ac:dyDescent="0.25">
      <c r="A239" s="24">
        <v>444567620</v>
      </c>
      <c r="B239">
        <v>1</v>
      </c>
    </row>
    <row r="240" spans="1:2" x14ac:dyDescent="0.25">
      <c r="A240" s="24">
        <v>444593448</v>
      </c>
      <c r="B240">
        <v>2</v>
      </c>
    </row>
    <row r="241" spans="1:2" x14ac:dyDescent="0.25">
      <c r="A241" s="24">
        <v>444460540</v>
      </c>
      <c r="B241">
        <v>2</v>
      </c>
    </row>
    <row r="242" spans="1:2" x14ac:dyDescent="0.25">
      <c r="A242" s="24">
        <v>444414816</v>
      </c>
      <c r="B242">
        <v>4</v>
      </c>
    </row>
    <row r="243" spans="1:2" x14ac:dyDescent="0.25">
      <c r="A243" s="24">
        <v>444457511</v>
      </c>
      <c r="B243">
        <v>4</v>
      </c>
    </row>
    <row r="244" spans="1:2" x14ac:dyDescent="0.25">
      <c r="A244" s="24">
        <v>444592805</v>
      </c>
      <c r="B244">
        <v>4</v>
      </c>
    </row>
    <row r="245" spans="1:2" x14ac:dyDescent="0.25">
      <c r="A245" s="24">
        <v>444596143</v>
      </c>
      <c r="B245">
        <v>3</v>
      </c>
    </row>
    <row r="246" spans="1:2" x14ac:dyDescent="0.25">
      <c r="A246" s="24">
        <v>444411766</v>
      </c>
      <c r="B246">
        <v>1</v>
      </c>
    </row>
    <row r="247" spans="1:2" x14ac:dyDescent="0.25">
      <c r="A247" s="24">
        <v>444566354</v>
      </c>
      <c r="B247">
        <v>3</v>
      </c>
    </row>
    <row r="248" spans="1:2" x14ac:dyDescent="0.25">
      <c r="A248" s="24">
        <v>444413124</v>
      </c>
      <c r="B248">
        <v>2</v>
      </c>
    </row>
    <row r="249" spans="1:2" x14ac:dyDescent="0.25">
      <c r="A249" s="24">
        <v>444601893</v>
      </c>
      <c r="B249">
        <v>3</v>
      </c>
    </row>
    <row r="250" spans="1:2" x14ac:dyDescent="0.25">
      <c r="A250" s="24">
        <v>444568106</v>
      </c>
      <c r="B250">
        <v>2</v>
      </c>
    </row>
    <row r="251" spans="1:2" x14ac:dyDescent="0.25">
      <c r="A251" s="24">
        <v>444574998</v>
      </c>
      <c r="B251">
        <v>4</v>
      </c>
    </row>
    <row r="252" spans="1:2" x14ac:dyDescent="0.25">
      <c r="A252" s="24">
        <v>444584317</v>
      </c>
      <c r="B252">
        <v>4</v>
      </c>
    </row>
    <row r="253" spans="1:2" x14ac:dyDescent="0.25">
      <c r="A253" s="24">
        <v>444566400</v>
      </c>
      <c r="B253">
        <v>1</v>
      </c>
    </row>
    <row r="254" spans="1:2" x14ac:dyDescent="0.25">
      <c r="A254" s="24">
        <v>444421096</v>
      </c>
      <c r="B254">
        <v>3</v>
      </c>
    </row>
    <row r="255" spans="1:2" x14ac:dyDescent="0.25">
      <c r="A255" s="24">
        <v>444566321</v>
      </c>
      <c r="B255">
        <v>2</v>
      </c>
    </row>
    <row r="256" spans="1:2" x14ac:dyDescent="0.25">
      <c r="A256" s="24">
        <v>444596282</v>
      </c>
      <c r="B256">
        <v>2</v>
      </c>
    </row>
    <row r="257" spans="1:2" x14ac:dyDescent="0.25">
      <c r="A257" s="24">
        <v>444425903</v>
      </c>
      <c r="B257">
        <v>1</v>
      </c>
    </row>
    <row r="258" spans="1:2" x14ac:dyDescent="0.25">
      <c r="A258" s="24">
        <v>444567138</v>
      </c>
      <c r="B258">
        <v>3</v>
      </c>
    </row>
    <row r="259" spans="1:2" x14ac:dyDescent="0.25">
      <c r="A259" s="24">
        <v>444418559</v>
      </c>
      <c r="B259">
        <v>1</v>
      </c>
    </row>
    <row r="260" spans="1:2" x14ac:dyDescent="0.25">
      <c r="A260" s="24">
        <v>444581384</v>
      </c>
      <c r="B260">
        <v>3</v>
      </c>
    </row>
    <row r="261" spans="1:2" x14ac:dyDescent="0.25">
      <c r="A261" s="24">
        <v>444450920</v>
      </c>
      <c r="B261">
        <v>2</v>
      </c>
    </row>
    <row r="262" spans="1:2" x14ac:dyDescent="0.25">
      <c r="A262" s="24">
        <v>444601674</v>
      </c>
      <c r="B262">
        <v>3</v>
      </c>
    </row>
    <row r="263" spans="1:2" x14ac:dyDescent="0.25">
      <c r="A263" s="24">
        <v>444583911</v>
      </c>
      <c r="B263">
        <v>1</v>
      </c>
    </row>
    <row r="264" spans="1:2" x14ac:dyDescent="0.25">
      <c r="A264" s="24">
        <v>444607391</v>
      </c>
      <c r="B264">
        <v>4</v>
      </c>
    </row>
    <row r="265" spans="1:2" x14ac:dyDescent="0.25">
      <c r="A265" s="24">
        <v>444608008</v>
      </c>
      <c r="B265">
        <v>1</v>
      </c>
    </row>
    <row r="266" spans="1:2" x14ac:dyDescent="0.25">
      <c r="A266" s="24">
        <v>444439446</v>
      </c>
      <c r="B266">
        <v>4</v>
      </c>
    </row>
    <row r="267" spans="1:2" x14ac:dyDescent="0.25">
      <c r="A267" s="24">
        <v>444566709</v>
      </c>
      <c r="B267">
        <v>2</v>
      </c>
    </row>
    <row r="268" spans="1:2" x14ac:dyDescent="0.25">
      <c r="A268" s="24">
        <v>444410181</v>
      </c>
      <c r="B268">
        <v>1</v>
      </c>
    </row>
    <row r="269" spans="1:2" x14ac:dyDescent="0.25">
      <c r="A269" s="24">
        <v>444410815</v>
      </c>
      <c r="B269">
        <v>3</v>
      </c>
    </row>
    <row r="270" spans="1:2" x14ac:dyDescent="0.25">
      <c r="A270" s="24">
        <v>444417570</v>
      </c>
      <c r="B270">
        <v>2</v>
      </c>
    </row>
    <row r="271" spans="1:2" x14ac:dyDescent="0.25">
      <c r="A271" s="24">
        <v>444578198</v>
      </c>
      <c r="B271">
        <v>4</v>
      </c>
    </row>
    <row r="272" spans="1:2" x14ac:dyDescent="0.25">
      <c r="A272" s="24">
        <v>444574322</v>
      </c>
      <c r="B272">
        <v>1</v>
      </c>
    </row>
    <row r="273" spans="1:2" x14ac:dyDescent="0.25">
      <c r="A273" s="24">
        <v>444567945</v>
      </c>
      <c r="B273">
        <v>4</v>
      </c>
    </row>
    <row r="274" spans="1:2" x14ac:dyDescent="0.25">
      <c r="A274" s="24">
        <v>444450991</v>
      </c>
      <c r="B274">
        <v>1</v>
      </c>
    </row>
    <row r="275" spans="1:2" x14ac:dyDescent="0.25">
      <c r="A275" s="24">
        <v>444576907</v>
      </c>
      <c r="B275">
        <v>1</v>
      </c>
    </row>
    <row r="276" spans="1:2" x14ac:dyDescent="0.25">
      <c r="A276" s="24">
        <v>444426829</v>
      </c>
      <c r="B276">
        <v>3</v>
      </c>
    </row>
    <row r="277" spans="1:2" x14ac:dyDescent="0.25">
      <c r="A277" s="24">
        <v>444596629</v>
      </c>
      <c r="B277">
        <v>2</v>
      </c>
    </row>
    <row r="278" spans="1:2" x14ac:dyDescent="0.25">
      <c r="A278" s="24">
        <v>444592321</v>
      </c>
      <c r="B278">
        <v>4</v>
      </c>
    </row>
    <row r="279" spans="1:2" x14ac:dyDescent="0.25">
      <c r="A279" s="24">
        <v>444415174</v>
      </c>
      <c r="B279">
        <v>1</v>
      </c>
    </row>
    <row r="280" spans="1:2" x14ac:dyDescent="0.25">
      <c r="A280" s="24">
        <v>444413138</v>
      </c>
      <c r="B280">
        <v>3</v>
      </c>
    </row>
    <row r="281" spans="1:2" x14ac:dyDescent="0.25">
      <c r="A281" s="24">
        <v>444600354</v>
      </c>
      <c r="B281">
        <v>2</v>
      </c>
    </row>
    <row r="282" spans="1:2" x14ac:dyDescent="0.25">
      <c r="A282" s="24">
        <v>444410703</v>
      </c>
      <c r="B282">
        <v>1</v>
      </c>
    </row>
    <row r="283" spans="1:2" x14ac:dyDescent="0.25">
      <c r="A283" s="24">
        <v>444459705</v>
      </c>
      <c r="B283">
        <v>2</v>
      </c>
    </row>
    <row r="284" spans="1:2" x14ac:dyDescent="0.25">
      <c r="A284" s="24">
        <v>444590158</v>
      </c>
      <c r="B284">
        <v>4</v>
      </c>
    </row>
    <row r="285" spans="1:2" x14ac:dyDescent="0.25">
      <c r="A285" s="24">
        <v>444410375</v>
      </c>
      <c r="B285">
        <v>2</v>
      </c>
    </row>
    <row r="286" spans="1:2" x14ac:dyDescent="0.25">
      <c r="A286" s="24">
        <v>444414983</v>
      </c>
      <c r="B286">
        <v>3</v>
      </c>
    </row>
    <row r="287" spans="1:2" x14ac:dyDescent="0.25">
      <c r="A287" s="24">
        <v>444615051</v>
      </c>
      <c r="B287">
        <v>3</v>
      </c>
    </row>
    <row r="288" spans="1:2" x14ac:dyDescent="0.25">
      <c r="A288" s="24">
        <v>444566419</v>
      </c>
      <c r="B288">
        <v>3</v>
      </c>
    </row>
    <row r="289" spans="1:2" x14ac:dyDescent="0.25">
      <c r="A289" s="24">
        <v>444430843</v>
      </c>
      <c r="B289">
        <v>1</v>
      </c>
    </row>
    <row r="290" spans="1:2" x14ac:dyDescent="0.25">
      <c r="A290" s="24">
        <v>444577012</v>
      </c>
      <c r="B290">
        <v>2</v>
      </c>
    </row>
    <row r="291" spans="1:2" x14ac:dyDescent="0.25">
      <c r="A291" s="24">
        <v>444618993</v>
      </c>
      <c r="B291">
        <v>3</v>
      </c>
    </row>
    <row r="292" spans="1:2" x14ac:dyDescent="0.25">
      <c r="A292" s="24">
        <v>444574694</v>
      </c>
      <c r="B292">
        <v>2</v>
      </c>
    </row>
    <row r="293" spans="1:2" x14ac:dyDescent="0.25">
      <c r="A293" s="24">
        <v>444421528</v>
      </c>
      <c r="B293">
        <v>3</v>
      </c>
    </row>
    <row r="294" spans="1:2" x14ac:dyDescent="0.25">
      <c r="A294" s="24">
        <v>444414708</v>
      </c>
      <c r="B294">
        <v>3</v>
      </c>
    </row>
    <row r="295" spans="1:2" x14ac:dyDescent="0.25">
      <c r="A295" s="24">
        <v>444420201</v>
      </c>
      <c r="B295">
        <v>4</v>
      </c>
    </row>
    <row r="296" spans="1:2" x14ac:dyDescent="0.25">
      <c r="A296" s="24">
        <v>444583817</v>
      </c>
      <c r="B296">
        <v>1</v>
      </c>
    </row>
    <row r="297" spans="1:2" x14ac:dyDescent="0.25">
      <c r="A297" s="24">
        <v>444613601</v>
      </c>
      <c r="B297">
        <v>1</v>
      </c>
    </row>
    <row r="298" spans="1:2" x14ac:dyDescent="0.25">
      <c r="A298" s="24">
        <v>444620520</v>
      </c>
      <c r="B298">
        <v>3</v>
      </c>
    </row>
    <row r="299" spans="1:2" x14ac:dyDescent="0.25">
      <c r="A299" s="24">
        <v>444411336</v>
      </c>
      <c r="B299">
        <v>1</v>
      </c>
    </row>
    <row r="300" spans="1:2" x14ac:dyDescent="0.25">
      <c r="A300" s="24">
        <v>444539318</v>
      </c>
      <c r="B300">
        <v>1</v>
      </c>
    </row>
    <row r="301" spans="1:2" x14ac:dyDescent="0.25">
      <c r="A301" s="24">
        <v>444566891</v>
      </c>
      <c r="B301">
        <v>4</v>
      </c>
    </row>
    <row r="302" spans="1:2" x14ac:dyDescent="0.25">
      <c r="A302" s="24">
        <v>444412878</v>
      </c>
      <c r="B302">
        <v>2</v>
      </c>
    </row>
    <row r="303" spans="1:2" x14ac:dyDescent="0.25">
      <c r="A303" s="24">
        <v>444568942</v>
      </c>
      <c r="B303">
        <v>4</v>
      </c>
    </row>
    <row r="304" spans="1:2" x14ac:dyDescent="0.25">
      <c r="A304" s="24">
        <v>444412036</v>
      </c>
      <c r="B304">
        <v>3</v>
      </c>
    </row>
    <row r="305" spans="1:2" x14ac:dyDescent="0.25">
      <c r="A305" s="24">
        <v>444621814</v>
      </c>
      <c r="B305">
        <v>2</v>
      </c>
    </row>
    <row r="306" spans="1:2" x14ac:dyDescent="0.25">
      <c r="A306" s="24">
        <v>444411619</v>
      </c>
      <c r="B306">
        <v>1</v>
      </c>
    </row>
    <row r="307" spans="1:2" x14ac:dyDescent="0.25">
      <c r="A307" s="24">
        <v>444569836</v>
      </c>
      <c r="B307">
        <v>2</v>
      </c>
    </row>
    <row r="308" spans="1:2" x14ac:dyDescent="0.25">
      <c r="A308" s="24">
        <v>444593848</v>
      </c>
      <c r="B308">
        <v>1</v>
      </c>
    </row>
    <row r="309" spans="1:2" x14ac:dyDescent="0.25">
      <c r="A309" s="24">
        <v>444611875</v>
      </c>
      <c r="B309">
        <v>1</v>
      </c>
    </row>
    <row r="310" spans="1:2" x14ac:dyDescent="0.25">
      <c r="A310" s="24">
        <v>444598345</v>
      </c>
      <c r="B310">
        <v>4</v>
      </c>
    </row>
    <row r="311" spans="1:2" x14ac:dyDescent="0.25">
      <c r="A311" s="24">
        <v>444410187</v>
      </c>
      <c r="B311">
        <v>3</v>
      </c>
    </row>
    <row r="312" spans="1:2" x14ac:dyDescent="0.25">
      <c r="A312" s="24">
        <v>444463161</v>
      </c>
      <c r="B312">
        <v>3</v>
      </c>
    </row>
    <row r="313" spans="1:2" x14ac:dyDescent="0.25">
      <c r="A313" s="24">
        <v>444532025</v>
      </c>
      <c r="B313">
        <v>4</v>
      </c>
    </row>
    <row r="314" spans="1:2" x14ac:dyDescent="0.25">
      <c r="A314" s="24">
        <v>444446926</v>
      </c>
      <c r="B314">
        <v>1</v>
      </c>
    </row>
    <row r="315" spans="1:2" x14ac:dyDescent="0.25">
      <c r="A315" s="24">
        <v>444612908</v>
      </c>
      <c r="B315">
        <v>1</v>
      </c>
    </row>
    <row r="316" spans="1:2" x14ac:dyDescent="0.25">
      <c r="A316" s="24">
        <v>444566357</v>
      </c>
      <c r="B316">
        <v>2</v>
      </c>
    </row>
    <row r="317" spans="1:2" x14ac:dyDescent="0.25">
      <c r="A317" s="24">
        <v>444602198</v>
      </c>
      <c r="B317">
        <v>3</v>
      </c>
    </row>
    <row r="318" spans="1:2" x14ac:dyDescent="0.25">
      <c r="A318" s="24">
        <v>444410179</v>
      </c>
      <c r="B318">
        <v>1</v>
      </c>
    </row>
    <row r="319" spans="1:2" x14ac:dyDescent="0.25">
      <c r="A319" s="24">
        <v>444569140</v>
      </c>
      <c r="B319">
        <v>2</v>
      </c>
    </row>
    <row r="320" spans="1:2" x14ac:dyDescent="0.25">
      <c r="A320" s="24">
        <v>444599076</v>
      </c>
      <c r="B320">
        <v>2</v>
      </c>
    </row>
    <row r="321" spans="1:2" x14ac:dyDescent="0.25">
      <c r="A321" s="24">
        <v>444439888</v>
      </c>
      <c r="B321">
        <v>1</v>
      </c>
    </row>
    <row r="322" spans="1:2" x14ac:dyDescent="0.25">
      <c r="A322" s="24">
        <v>444572346</v>
      </c>
      <c r="B322">
        <v>3</v>
      </c>
    </row>
    <row r="323" spans="1:2" x14ac:dyDescent="0.25">
      <c r="A323" s="24">
        <v>444582404</v>
      </c>
      <c r="B323">
        <v>3</v>
      </c>
    </row>
    <row r="324" spans="1:2" x14ac:dyDescent="0.25">
      <c r="A324" s="24">
        <v>444566535</v>
      </c>
      <c r="B324">
        <v>3</v>
      </c>
    </row>
    <row r="325" spans="1:2" x14ac:dyDescent="0.25">
      <c r="A325" s="24">
        <v>444566461</v>
      </c>
      <c r="B325">
        <v>2</v>
      </c>
    </row>
    <row r="326" spans="1:2" x14ac:dyDescent="0.25">
      <c r="A326" s="24">
        <v>444417951</v>
      </c>
      <c r="B326">
        <v>3</v>
      </c>
    </row>
    <row r="327" spans="1:2" x14ac:dyDescent="0.25">
      <c r="A327" s="24">
        <v>444585684</v>
      </c>
      <c r="B327">
        <v>1</v>
      </c>
    </row>
    <row r="328" spans="1:2" x14ac:dyDescent="0.25">
      <c r="A328" s="24">
        <v>444602054</v>
      </c>
      <c r="B328">
        <v>3</v>
      </c>
    </row>
    <row r="329" spans="1:2" x14ac:dyDescent="0.25">
      <c r="A329" s="24">
        <v>444569244</v>
      </c>
      <c r="B329">
        <v>2</v>
      </c>
    </row>
    <row r="330" spans="1:2" x14ac:dyDescent="0.25">
      <c r="A330" s="24">
        <v>444577507</v>
      </c>
      <c r="B330">
        <v>3</v>
      </c>
    </row>
    <row r="331" spans="1:2" x14ac:dyDescent="0.25">
      <c r="A331" s="24">
        <v>444567040</v>
      </c>
      <c r="B331">
        <v>4</v>
      </c>
    </row>
    <row r="332" spans="1:2" x14ac:dyDescent="0.25">
      <c r="A332" s="24">
        <v>444476835</v>
      </c>
      <c r="B332">
        <v>3</v>
      </c>
    </row>
    <row r="333" spans="1:2" x14ac:dyDescent="0.25">
      <c r="A333" s="24">
        <v>444433535</v>
      </c>
      <c r="B333">
        <v>2</v>
      </c>
    </row>
    <row r="334" spans="1:2" x14ac:dyDescent="0.25">
      <c r="A334" s="24">
        <v>444453278</v>
      </c>
      <c r="B334">
        <v>2</v>
      </c>
    </row>
    <row r="335" spans="1:2" x14ac:dyDescent="0.25">
      <c r="A335" s="24">
        <v>444424574</v>
      </c>
      <c r="B335">
        <v>2</v>
      </c>
    </row>
    <row r="336" spans="1:2" x14ac:dyDescent="0.25">
      <c r="A336" s="24">
        <v>444570929</v>
      </c>
      <c r="B336">
        <v>1</v>
      </c>
    </row>
    <row r="337" spans="1:2" x14ac:dyDescent="0.25">
      <c r="A337" s="24">
        <v>444608882</v>
      </c>
      <c r="B337">
        <v>2</v>
      </c>
    </row>
    <row r="338" spans="1:2" x14ac:dyDescent="0.25">
      <c r="A338" s="24">
        <v>444572347</v>
      </c>
      <c r="B338">
        <v>2</v>
      </c>
    </row>
    <row r="339" spans="1:2" x14ac:dyDescent="0.25">
      <c r="A339" s="24">
        <v>444415651</v>
      </c>
      <c r="B339">
        <v>3</v>
      </c>
    </row>
    <row r="340" spans="1:2" x14ac:dyDescent="0.25">
      <c r="A340" s="24">
        <v>444600477</v>
      </c>
      <c r="B340">
        <v>2</v>
      </c>
    </row>
    <row r="341" spans="1:2" x14ac:dyDescent="0.25">
      <c r="A341" s="24">
        <v>444410766</v>
      </c>
      <c r="B341">
        <v>1</v>
      </c>
    </row>
    <row r="342" spans="1:2" x14ac:dyDescent="0.25">
      <c r="A342" s="24">
        <v>444420150</v>
      </c>
      <c r="B342">
        <v>4</v>
      </c>
    </row>
    <row r="343" spans="1:2" x14ac:dyDescent="0.25">
      <c r="A343" s="24">
        <v>444588865</v>
      </c>
      <c r="B343">
        <v>2</v>
      </c>
    </row>
    <row r="344" spans="1:2" x14ac:dyDescent="0.25">
      <c r="A344" s="24">
        <v>444420271</v>
      </c>
      <c r="B344">
        <v>4</v>
      </c>
    </row>
    <row r="345" spans="1:2" x14ac:dyDescent="0.25">
      <c r="A345" s="24">
        <v>444425624</v>
      </c>
      <c r="B345">
        <v>3</v>
      </c>
    </row>
    <row r="346" spans="1:2" x14ac:dyDescent="0.25">
      <c r="A346" s="24">
        <v>444568598</v>
      </c>
      <c r="B346">
        <v>2</v>
      </c>
    </row>
    <row r="347" spans="1:2" x14ac:dyDescent="0.25">
      <c r="A347" s="24">
        <v>444583872</v>
      </c>
      <c r="B347">
        <v>3</v>
      </c>
    </row>
    <row r="348" spans="1:2" x14ac:dyDescent="0.25">
      <c r="A348" s="24">
        <v>444411689</v>
      </c>
      <c r="B348">
        <v>1</v>
      </c>
    </row>
    <row r="349" spans="1:2" x14ac:dyDescent="0.25">
      <c r="A349" s="24">
        <v>444427697</v>
      </c>
      <c r="B349">
        <v>1</v>
      </c>
    </row>
    <row r="350" spans="1:2" x14ac:dyDescent="0.25">
      <c r="A350" s="24">
        <v>444609114</v>
      </c>
      <c r="B350">
        <v>2</v>
      </c>
    </row>
    <row r="351" spans="1:2" x14ac:dyDescent="0.25">
      <c r="A351" s="24">
        <v>444567049</v>
      </c>
      <c r="B351">
        <v>1</v>
      </c>
    </row>
    <row r="352" spans="1:2" x14ac:dyDescent="0.25">
      <c r="A352" s="24">
        <v>444440099</v>
      </c>
      <c r="B352">
        <v>1</v>
      </c>
    </row>
    <row r="353" spans="1:2" x14ac:dyDescent="0.25">
      <c r="A353" s="24">
        <v>444458145</v>
      </c>
      <c r="B353">
        <v>2</v>
      </c>
    </row>
    <row r="354" spans="1:2" x14ac:dyDescent="0.25">
      <c r="A354" s="24">
        <v>444428742</v>
      </c>
      <c r="B354">
        <v>2</v>
      </c>
    </row>
    <row r="355" spans="1:2" x14ac:dyDescent="0.25">
      <c r="A355" s="24">
        <v>444590599</v>
      </c>
      <c r="B355">
        <v>1</v>
      </c>
    </row>
    <row r="356" spans="1:2" x14ac:dyDescent="0.25">
      <c r="A356" s="24">
        <v>444568574</v>
      </c>
      <c r="B356">
        <v>2</v>
      </c>
    </row>
    <row r="357" spans="1:2" x14ac:dyDescent="0.25">
      <c r="A357" s="24">
        <v>444616407</v>
      </c>
      <c r="B357">
        <v>2</v>
      </c>
    </row>
    <row r="358" spans="1:2" x14ac:dyDescent="0.25">
      <c r="A358" s="24">
        <v>444582159</v>
      </c>
      <c r="B358">
        <v>2</v>
      </c>
    </row>
    <row r="359" spans="1:2" x14ac:dyDescent="0.25">
      <c r="A359" s="24">
        <v>444422987</v>
      </c>
      <c r="B359">
        <v>4</v>
      </c>
    </row>
    <row r="360" spans="1:2" x14ac:dyDescent="0.25">
      <c r="A360" s="24">
        <v>444416954</v>
      </c>
      <c r="B360">
        <v>3</v>
      </c>
    </row>
    <row r="361" spans="1:2" x14ac:dyDescent="0.25">
      <c r="A361" s="24">
        <v>444437124</v>
      </c>
      <c r="B361">
        <v>2</v>
      </c>
    </row>
    <row r="362" spans="1:2" x14ac:dyDescent="0.25">
      <c r="A362" s="24">
        <v>444570710</v>
      </c>
      <c r="B362">
        <v>1</v>
      </c>
    </row>
    <row r="363" spans="1:2" x14ac:dyDescent="0.25">
      <c r="A363" s="24">
        <v>444567477</v>
      </c>
      <c r="B363">
        <v>2</v>
      </c>
    </row>
    <row r="364" spans="1:2" x14ac:dyDescent="0.25">
      <c r="A364" s="24">
        <v>444581205</v>
      </c>
      <c r="B364">
        <v>2</v>
      </c>
    </row>
    <row r="365" spans="1:2" x14ac:dyDescent="0.25">
      <c r="A365" s="24">
        <v>444582007</v>
      </c>
      <c r="B365">
        <v>3</v>
      </c>
    </row>
    <row r="366" spans="1:2" x14ac:dyDescent="0.25">
      <c r="A366" s="24">
        <v>444622320</v>
      </c>
      <c r="B366">
        <v>3</v>
      </c>
    </row>
    <row r="367" spans="1:2" x14ac:dyDescent="0.25">
      <c r="A367" s="24">
        <v>444411883</v>
      </c>
      <c r="B367">
        <v>1</v>
      </c>
    </row>
    <row r="368" spans="1:2" x14ac:dyDescent="0.25">
      <c r="A368" s="24">
        <v>444566337</v>
      </c>
      <c r="B368">
        <v>2</v>
      </c>
    </row>
    <row r="369" spans="1:2" x14ac:dyDescent="0.25">
      <c r="A369" s="24">
        <v>444566929</v>
      </c>
      <c r="B369">
        <v>1</v>
      </c>
    </row>
    <row r="370" spans="1:2" x14ac:dyDescent="0.25">
      <c r="A370" s="24">
        <v>444615981</v>
      </c>
      <c r="B370">
        <v>1</v>
      </c>
    </row>
    <row r="371" spans="1:2" x14ac:dyDescent="0.25">
      <c r="A371" s="24">
        <v>444619697</v>
      </c>
      <c r="B371">
        <v>2</v>
      </c>
    </row>
    <row r="372" spans="1:2" x14ac:dyDescent="0.25">
      <c r="A372" s="24">
        <v>444568762</v>
      </c>
      <c r="B372">
        <v>2</v>
      </c>
    </row>
    <row r="373" spans="1:2" x14ac:dyDescent="0.25">
      <c r="A373" s="24">
        <v>444582639</v>
      </c>
      <c r="B373">
        <v>4</v>
      </c>
    </row>
    <row r="374" spans="1:2" x14ac:dyDescent="0.25">
      <c r="A374" s="24">
        <v>444582176</v>
      </c>
      <c r="B374">
        <v>3</v>
      </c>
    </row>
    <row r="375" spans="1:2" x14ac:dyDescent="0.25">
      <c r="A375" s="24">
        <v>444579860</v>
      </c>
      <c r="B375">
        <v>2</v>
      </c>
    </row>
    <row r="376" spans="1:2" x14ac:dyDescent="0.25">
      <c r="A376" s="24">
        <v>444427702</v>
      </c>
      <c r="B376">
        <v>3</v>
      </c>
    </row>
    <row r="377" spans="1:2" x14ac:dyDescent="0.25">
      <c r="A377" s="24">
        <v>444585896</v>
      </c>
      <c r="B377">
        <v>4</v>
      </c>
    </row>
    <row r="378" spans="1:2" x14ac:dyDescent="0.25">
      <c r="A378" s="24">
        <v>444613204</v>
      </c>
      <c r="B378">
        <v>2</v>
      </c>
    </row>
    <row r="379" spans="1:2" x14ac:dyDescent="0.25">
      <c r="A379" s="24">
        <v>444570453</v>
      </c>
      <c r="B379">
        <v>2</v>
      </c>
    </row>
    <row r="380" spans="1:2" x14ac:dyDescent="0.25">
      <c r="A380" s="24">
        <v>444566784</v>
      </c>
      <c r="B380">
        <v>4</v>
      </c>
    </row>
    <row r="381" spans="1:2" x14ac:dyDescent="0.25">
      <c r="A381" s="24">
        <v>444418658</v>
      </c>
      <c r="B381">
        <v>2</v>
      </c>
    </row>
    <row r="382" spans="1:2" x14ac:dyDescent="0.25">
      <c r="A382" s="24">
        <v>444572600</v>
      </c>
      <c r="B382">
        <v>1</v>
      </c>
    </row>
    <row r="383" spans="1:2" x14ac:dyDescent="0.25">
      <c r="A383" s="24">
        <v>444412873</v>
      </c>
      <c r="B383">
        <v>1</v>
      </c>
    </row>
    <row r="384" spans="1:2" x14ac:dyDescent="0.25">
      <c r="A384" s="24">
        <v>444430986</v>
      </c>
      <c r="B384">
        <v>4</v>
      </c>
    </row>
    <row r="385" spans="1:2" x14ac:dyDescent="0.25">
      <c r="A385" s="24">
        <v>444592548</v>
      </c>
      <c r="B385">
        <v>4</v>
      </c>
    </row>
    <row r="386" spans="1:2" x14ac:dyDescent="0.25">
      <c r="A386" s="24">
        <v>444615810</v>
      </c>
      <c r="B386">
        <v>3</v>
      </c>
    </row>
    <row r="387" spans="1:2" x14ac:dyDescent="0.25">
      <c r="A387" s="24">
        <v>444612225</v>
      </c>
      <c r="B387">
        <v>3</v>
      </c>
    </row>
    <row r="388" spans="1:2" x14ac:dyDescent="0.25">
      <c r="A388" s="24">
        <v>444410695</v>
      </c>
      <c r="B388">
        <v>1</v>
      </c>
    </row>
    <row r="389" spans="1:2" x14ac:dyDescent="0.25">
      <c r="A389" s="24">
        <v>444433929</v>
      </c>
      <c r="B389">
        <v>2</v>
      </c>
    </row>
    <row r="390" spans="1:2" x14ac:dyDescent="0.25">
      <c r="A390" s="24">
        <v>444572307</v>
      </c>
      <c r="B390">
        <v>2</v>
      </c>
    </row>
    <row r="391" spans="1:2" x14ac:dyDescent="0.25">
      <c r="A391" s="24">
        <v>444568593</v>
      </c>
      <c r="B391">
        <v>2</v>
      </c>
    </row>
    <row r="392" spans="1:2" x14ac:dyDescent="0.25">
      <c r="A392" s="24">
        <v>444427844</v>
      </c>
      <c r="B392">
        <v>1</v>
      </c>
    </row>
    <row r="393" spans="1:2" x14ac:dyDescent="0.25">
      <c r="A393" s="24">
        <v>444614670</v>
      </c>
      <c r="B393">
        <v>2</v>
      </c>
    </row>
    <row r="394" spans="1:2" x14ac:dyDescent="0.25">
      <c r="A394" s="24">
        <v>444455855</v>
      </c>
      <c r="B394">
        <v>4</v>
      </c>
    </row>
    <row r="395" spans="1:2" x14ac:dyDescent="0.25">
      <c r="A395" s="24">
        <v>444572669</v>
      </c>
      <c r="B395">
        <v>3</v>
      </c>
    </row>
    <row r="396" spans="1:2" x14ac:dyDescent="0.25">
      <c r="A396" s="24">
        <v>444439604</v>
      </c>
      <c r="B396">
        <v>4</v>
      </c>
    </row>
    <row r="397" spans="1:2" x14ac:dyDescent="0.25">
      <c r="A397" s="24">
        <v>444601100</v>
      </c>
      <c r="B397">
        <v>2</v>
      </c>
    </row>
    <row r="398" spans="1:2" x14ac:dyDescent="0.25">
      <c r="A398" s="24">
        <v>444600188</v>
      </c>
      <c r="B398">
        <v>2</v>
      </c>
    </row>
    <row r="399" spans="1:2" x14ac:dyDescent="0.25">
      <c r="A399" s="24">
        <v>444449977</v>
      </c>
      <c r="B399">
        <v>3</v>
      </c>
    </row>
    <row r="400" spans="1:2" x14ac:dyDescent="0.25">
      <c r="A400" s="24">
        <v>444438911</v>
      </c>
      <c r="B400">
        <v>4</v>
      </c>
    </row>
    <row r="401" spans="1:2" x14ac:dyDescent="0.25">
      <c r="A401" s="24">
        <v>444572256</v>
      </c>
      <c r="B401">
        <v>4</v>
      </c>
    </row>
    <row r="402" spans="1:2" x14ac:dyDescent="0.25">
      <c r="A402" s="24">
        <v>444442991</v>
      </c>
      <c r="B402">
        <v>1</v>
      </c>
    </row>
    <row r="403" spans="1:2" x14ac:dyDescent="0.25">
      <c r="A403" s="24">
        <v>444451890</v>
      </c>
      <c r="B403">
        <v>4</v>
      </c>
    </row>
    <row r="404" spans="1:2" x14ac:dyDescent="0.25">
      <c r="A404" s="24">
        <v>444411754</v>
      </c>
      <c r="B404">
        <v>3</v>
      </c>
    </row>
    <row r="405" spans="1:2" x14ac:dyDescent="0.25">
      <c r="A405" s="24">
        <v>444455915</v>
      </c>
      <c r="B405">
        <v>2</v>
      </c>
    </row>
    <row r="406" spans="1:2" x14ac:dyDescent="0.25">
      <c r="A406" s="24">
        <v>444568604</v>
      </c>
      <c r="B406">
        <v>2</v>
      </c>
    </row>
    <row r="407" spans="1:2" x14ac:dyDescent="0.25">
      <c r="A407" s="24">
        <v>444466462</v>
      </c>
      <c r="B407">
        <v>2</v>
      </c>
    </row>
    <row r="408" spans="1:2" x14ac:dyDescent="0.25">
      <c r="A408" s="24">
        <v>444411255</v>
      </c>
      <c r="B408">
        <v>1</v>
      </c>
    </row>
    <row r="409" spans="1:2" x14ac:dyDescent="0.25">
      <c r="A409" s="24">
        <v>444584352</v>
      </c>
      <c r="B409">
        <v>1</v>
      </c>
    </row>
    <row r="410" spans="1:2" x14ac:dyDescent="0.25">
      <c r="A410" s="24">
        <v>444587139</v>
      </c>
      <c r="B410">
        <v>2</v>
      </c>
    </row>
    <row r="411" spans="1:2" x14ac:dyDescent="0.25">
      <c r="A411" s="24">
        <v>444572980</v>
      </c>
      <c r="B411">
        <v>2</v>
      </c>
    </row>
    <row r="412" spans="1:2" x14ac:dyDescent="0.25">
      <c r="A412" s="24">
        <v>444414842</v>
      </c>
      <c r="B412">
        <v>2</v>
      </c>
    </row>
    <row r="413" spans="1:2" x14ac:dyDescent="0.25">
      <c r="A413" s="24">
        <v>444411527</v>
      </c>
      <c r="B413">
        <v>1</v>
      </c>
    </row>
    <row r="414" spans="1:2" x14ac:dyDescent="0.25">
      <c r="A414" s="24">
        <v>444410836</v>
      </c>
      <c r="B414">
        <v>4</v>
      </c>
    </row>
    <row r="415" spans="1:2" x14ac:dyDescent="0.25">
      <c r="A415" s="24">
        <v>444622343</v>
      </c>
      <c r="B415">
        <v>1</v>
      </c>
    </row>
    <row r="416" spans="1:2" x14ac:dyDescent="0.25">
      <c r="A416" s="24">
        <v>444568386</v>
      </c>
      <c r="B416">
        <v>3</v>
      </c>
    </row>
    <row r="417" spans="1:2" x14ac:dyDescent="0.25">
      <c r="A417" s="24">
        <v>444566837</v>
      </c>
      <c r="B417">
        <v>1</v>
      </c>
    </row>
    <row r="418" spans="1:2" x14ac:dyDescent="0.25">
      <c r="A418" s="24">
        <v>444410627</v>
      </c>
      <c r="B418">
        <v>2</v>
      </c>
    </row>
    <row r="419" spans="1:2" x14ac:dyDescent="0.25">
      <c r="A419" s="24">
        <v>444579556</v>
      </c>
      <c r="B419">
        <v>3</v>
      </c>
    </row>
    <row r="420" spans="1:2" x14ac:dyDescent="0.25">
      <c r="A420" s="24">
        <v>444581288</v>
      </c>
      <c r="B420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Menú</vt:lpstr>
      <vt:lpstr>INICIO</vt:lpstr>
      <vt:lpstr>Freq y Prop</vt:lpstr>
      <vt:lpstr>Descripción</vt:lpstr>
      <vt:lpstr>Perfilamiento</vt:lpstr>
      <vt:lpstr>Variables</vt:lpstr>
      <vt:lpstr>Folio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USUARIO1</dc:creator>
  <cp:lastModifiedBy>USUARIO1</cp:lastModifiedBy>
  <dcterms:created xsi:type="dcterms:W3CDTF">2022-06-29T15:13:51Z</dcterms:created>
  <dcterms:modified xsi:type="dcterms:W3CDTF">2022-09-02T00:12:23Z</dcterms:modified>
</cp:coreProperties>
</file>